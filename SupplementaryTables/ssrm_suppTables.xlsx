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ehd5113/human-gut-ssrm-capscan/SupplementaryTables/"/>
    </mc:Choice>
  </mc:AlternateContent>
  <xr:revisionPtr revIDLastSave="0" documentId="13_ncr:1_{6585364D-A3F5-FD45-9632-191683E8420A}" xr6:coauthVersionLast="47" xr6:coauthVersionMax="47" xr10:uidLastSave="{00000000-0000-0000-0000-000000000000}"/>
  <bookViews>
    <workbookView xWindow="2620" yWindow="760" windowWidth="29100" windowHeight="16840" activeTab="3" xr2:uid="{C171AF22-812F-0C42-B48C-B2ABBD8475A5}"/>
  </bookViews>
  <sheets>
    <sheet name="SuppTable1" sheetId="4" r:id="rId1"/>
    <sheet name="SuppTable2" sheetId="2" r:id="rId2"/>
    <sheet name="SuppTable3" sheetId="1" r:id="rId3"/>
    <sheet name="SuppTable4"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7" i="6" l="1"/>
  <c r="I23" i="6"/>
  <c r="I21" i="6"/>
  <c r="I19" i="6"/>
  <c r="I17" i="6"/>
  <c r="I16" i="6"/>
  <c r="I7" i="6"/>
  <c r="I6" i="6"/>
  <c r="I5" i="6"/>
  <c r="I4" i="6"/>
  <c r="F59" i="4"/>
  <c r="E59" i="4"/>
</calcChain>
</file>

<file path=xl/sharedStrings.xml><?xml version="1.0" encoding="utf-8"?>
<sst xmlns="http://schemas.openxmlformats.org/spreadsheetml/2006/main" count="791" uniqueCount="395">
  <si>
    <t>FILTER SETS FOR 2022</t>
  </si>
  <si>
    <t>filter set name</t>
  </si>
  <si>
    <t>date searched</t>
  </si>
  <si>
    <t>facet</t>
  </si>
  <si>
    <t>tag</t>
  </si>
  <si>
    <t># of biosamples</t>
  </si>
  <si>
    <t># of biosampels after "NZ_" prefix removed</t>
  </si>
  <si>
    <t># of biosamples after removing duplicates</t>
  </si>
  <si>
    <t>notes</t>
  </si>
  <si>
    <t>none</t>
  </si>
  <si>
    <t>--</t>
  </si>
  <si>
    <t>no filter; total # of projects in WGS database</t>
  </si>
  <si>
    <t>organism_hgm</t>
  </si>
  <si>
    <t>organism</t>
  </si>
  <si>
    <t>human gut metagenome</t>
  </si>
  <si>
    <t>metagenomesource_hgm</t>
  </si>
  <si>
    <t>metagenome source</t>
  </si>
  <si>
    <t>human gut stool metagenome</t>
  </si>
  <si>
    <t>isolationsource_stool</t>
  </si>
  <si>
    <t>host</t>
  </si>
  <si>
    <t>homo sapiens</t>
  </si>
  <si>
    <t>isolation source</t>
  </si>
  <si>
    <t>stool</t>
  </si>
  <si>
    <t>stool sample</t>
  </si>
  <si>
    <t>stool/fecal</t>
  </si>
  <si>
    <t>stool, clinical</t>
  </si>
  <si>
    <t>stools</t>
  </si>
  <si>
    <t>stool sample (feces)</t>
  </si>
  <si>
    <t>stool from individual ak</t>
  </si>
  <si>
    <t>stool sample of individual with bacteremia</t>
  </si>
  <si>
    <t>stool culture</t>
  </si>
  <si>
    <t>stool sample from patient with cholera</t>
  </si>
  <si>
    <t>stool from individual t</t>
  </si>
  <si>
    <t>stool samples</t>
  </si>
  <si>
    <t xml:space="preserve">stool isolate </t>
  </si>
  <si>
    <t>stool from individual ap</t>
  </si>
  <si>
    <t>stool from neonate</t>
  </si>
  <si>
    <t>isolationsource_feces</t>
  </si>
  <si>
    <t>feces</t>
  </si>
  <si>
    <t>fecal sample</t>
  </si>
  <si>
    <t>fecal material</t>
  </si>
  <si>
    <t>fecal</t>
  </si>
  <si>
    <t>fecal swab</t>
  </si>
  <si>
    <t>feces or rectal swab</t>
  </si>
  <si>
    <t>feces from female</t>
  </si>
  <si>
    <t>isolationsource_gut</t>
  </si>
  <si>
    <t>gut</t>
  </si>
  <si>
    <t>gut microbiota</t>
  </si>
  <si>
    <t>isolationsource_intestin</t>
  </si>
  <si>
    <t>intestine</t>
  </si>
  <si>
    <t>intestinal tract</t>
  </si>
  <si>
    <t>isolationsource_rectum</t>
  </si>
  <si>
    <t>rectal swab</t>
  </si>
  <si>
    <t>rectum</t>
  </si>
  <si>
    <t>rectal</t>
  </si>
  <si>
    <t>rectal swab/stool</t>
  </si>
  <si>
    <t>rectal swab neonate</t>
  </si>
  <si>
    <t>isolationsource_misc</t>
  </si>
  <si>
    <t>human gut</t>
  </si>
  <si>
    <t>perirectal swab</t>
  </si>
  <si>
    <t>infant feces</t>
  </si>
  <si>
    <t>gastric biopsy</t>
  </si>
  <si>
    <t>maternal feces</t>
  </si>
  <si>
    <t>gastric biopsies</t>
  </si>
  <si>
    <t>gastric biopsy specimen</t>
  </si>
  <si>
    <t>human stool</t>
  </si>
  <si>
    <t>human feces</t>
  </si>
  <si>
    <t>isolationsource_stomach</t>
  </si>
  <si>
    <t>stomach</t>
  </si>
  <si>
    <t>stomach biopsy</t>
  </si>
  <si>
    <t>isolationsource_faec</t>
  </si>
  <si>
    <t>faeces</t>
  </si>
  <si>
    <t>TOTAL</t>
  </si>
  <si>
    <t>Project accession</t>
  </si>
  <si>
    <t>Number of biosamples</t>
  </si>
  <si>
    <t>Description of project</t>
  </si>
  <si>
    <t>Age category (under or over 3)</t>
  </si>
  <si>
    <t>Country</t>
  </si>
  <si>
    <t>Disease states involved</t>
  </si>
  <si>
    <t>PRJNA354235</t>
  </si>
  <si>
    <t>Human gut metagenome raw sequence reads</t>
  </si>
  <si>
    <t>over 3</t>
  </si>
  <si>
    <t>United States of America</t>
  </si>
  <si>
    <t>No reported disease state</t>
  </si>
  <si>
    <t>PRJNA290380</t>
  </si>
  <si>
    <t>Metagenomes from children in the DIABIMMUNE cohort, followed from birth to age 3</t>
  </si>
  <si>
    <t>under 3</t>
  </si>
  <si>
    <t>Estonia, Finland, and Russia</t>
  </si>
  <si>
    <t>Autoimmunity and allergies</t>
  </si>
  <si>
    <t>PRJEB6456</t>
  </si>
  <si>
    <t>InfantGut: Dynamics and Stabilization of the Human Gut Microbiome during the First Year of Life</t>
  </si>
  <si>
    <t>PRJNA301903</t>
  </si>
  <si>
    <t>Metagenomic sequencing of preterm infant gut microbiota raw sequence reads</t>
  </si>
  <si>
    <t>Premature birth</t>
  </si>
  <si>
    <t>PRJNA422434</t>
  </si>
  <si>
    <t>A metagenome-wide association study (MGWAS) of gut microbiota in type 2 diabetes</t>
  </si>
  <si>
    <t>China</t>
  </si>
  <si>
    <t>Type 2 diabetes</t>
  </si>
  <si>
    <t>PRJEB4336</t>
  </si>
  <si>
    <t>Richness of human gut microbiome correlates with metabolic markers</t>
  </si>
  <si>
    <t>Denmark</t>
  </si>
  <si>
    <t>Obesity</t>
  </si>
  <si>
    <t>PRJEB12123</t>
  </si>
  <si>
    <t>MGWAS on fecal samples: gut microbial dysbiosis in young adults with obesity</t>
  </si>
  <si>
    <t>PRJEB5224</t>
  </si>
  <si>
    <t>Human gut metagenome from stool samples; integrated catalog of reference genes in the human gut microbiome</t>
  </si>
  <si>
    <t>Spain and Denmark</t>
  </si>
  <si>
    <t>Irritable bowel disease and/or obesity possible</t>
  </si>
  <si>
    <t>PRJEB1220</t>
  </si>
  <si>
    <t>Method for identifying metagenomic species and variable genetic elements by exhaustive co-abundance binning</t>
  </si>
  <si>
    <t>In Spanish individuals: Crohn's disease and Ulcerative colitis</t>
  </si>
  <si>
    <t>PRJEB6997</t>
  </si>
  <si>
    <t>Gut microbiome dysbiosis in Rheumatoid arthritis (RA)</t>
  </si>
  <si>
    <t>Rheumatoid arthritis</t>
  </si>
  <si>
    <t>PRJDB3601</t>
  </si>
  <si>
    <t>Metagenomics of Japanese gut microbiomes</t>
  </si>
  <si>
    <t>Japan</t>
  </si>
  <si>
    <t>PRJNA356102</t>
  </si>
  <si>
    <t>Human gut metagenome in RA; this does not make sense since it says ankylosing spondylitis patient</t>
  </si>
  <si>
    <t>PRJEB7774</t>
  </si>
  <si>
    <t>MGWAS on stools from healthy controls, advanced adenoma and carcinoma patients</t>
  </si>
  <si>
    <t>Austria</t>
  </si>
  <si>
    <t>Colorectal cancer</t>
  </si>
  <si>
    <t>PRJNA356225</t>
  </si>
  <si>
    <t>Metagenomic sequencing; bacterial diversity of stool samples from  Vogt-Koyanagi-Harada disease patients</t>
  </si>
  <si>
    <t>Vogt-Koyanagi-Harada disease</t>
  </si>
  <si>
    <t>PRJEB10878</t>
  </si>
  <si>
    <t>MGWAS on fecal samples from 74 CRC patients and 54 controls from China</t>
  </si>
  <si>
    <t>PRJNA305507</t>
  </si>
  <si>
    <t>Metagenomic sequencing to identify and measure the abundances of microorganisms present in stool samples from athletes</t>
  </si>
  <si>
    <t>PRJEB12449</t>
  </si>
  <si>
    <t>Stool shotgun metagenomics from study looking at association between gut microbiome and CRC</t>
  </si>
  <si>
    <t>PRJEB15111</t>
  </si>
  <si>
    <t>Identifying microbial metabolites associated with coronary heart disease; stool samples were collected in addition to the urine and plasma samples</t>
  </si>
  <si>
    <t>Coronary heart disease</t>
  </si>
  <si>
    <t>PRJNA353560</t>
  </si>
  <si>
    <t>Human gut microbiome in AS</t>
  </si>
  <si>
    <t>Ankylosing spondylitis</t>
  </si>
  <si>
    <t>PRJNA290729</t>
  </si>
  <si>
    <t>Characterization of the distal gut microbiota in obese patients following a weight-loss intervention using whole metagenome shotgun sequencing</t>
  </si>
  <si>
    <t>Germany</t>
  </si>
  <si>
    <t>PRJEB28245</t>
  </si>
  <si>
    <t>Assemblies of 760 MetaHIT metagenomes used in a pangenomic study</t>
  </si>
  <si>
    <t>PRJNA324129</t>
  </si>
  <si>
    <t>Human fecal microbiome before and after consumption of AH1206</t>
  </si>
  <si>
    <t>PRJEB17784</t>
  </si>
  <si>
    <t>Comparing fecal microbiomes of L-DOPA-naïve PD subjects to controls by metagenomic analysis</t>
  </si>
  <si>
    <t>Early stage, L-DOPA naïve PD patients</t>
  </si>
  <si>
    <t>PRJNA268964</t>
  </si>
  <si>
    <t>Human gut microbiome metagenome, gut microbiome diversity</t>
  </si>
  <si>
    <t>N/A</t>
  </si>
  <si>
    <t>Peru and United States of America</t>
  </si>
  <si>
    <t>PRJEB12357</t>
  </si>
  <si>
    <t>Shotgun sequencing after fecal microbiota transplant (FMT)</t>
  </si>
  <si>
    <t>Netherlands</t>
  </si>
  <si>
    <t>Metabolic syndrome</t>
  </si>
  <si>
    <t>PRJNA289586</t>
  </si>
  <si>
    <t>Human Gut Microbiome in a multiplex family study of Type 1 Diabetes Mellitus</t>
  </si>
  <si>
    <t>Luxembourg</t>
  </si>
  <si>
    <t>Type 1 diabetes</t>
  </si>
  <si>
    <t>PRJNA321058</t>
  </si>
  <si>
    <t>Increased intestinal microbial diversity following FMT for active Crohn's disease</t>
  </si>
  <si>
    <t>Crohn's disease and fecal microbiota transplant</t>
  </si>
  <si>
    <t>PRJNA273761</t>
  </si>
  <si>
    <t>Metagenomes from human infant fecal samples with and without necrotizing enterocolitis</t>
  </si>
  <si>
    <t>Necrotizing enterocolitis</t>
  </si>
  <si>
    <t>PRJEB9150</t>
  </si>
  <si>
    <t>Examining microbiota after cholera infection</t>
  </si>
  <si>
    <t>Bangladesh</t>
  </si>
  <si>
    <t>Cholera</t>
  </si>
  <si>
    <t>PRJNA278393</t>
  </si>
  <si>
    <t>Metagenome sequencing of the Hadza hunter-gatherer gut microbiota</t>
  </si>
  <si>
    <t>Tanzania and Italy</t>
  </si>
  <si>
    <t>PRJNA299502</t>
  </si>
  <si>
    <t>Gut microbiome diversity among the Cheyenne &amp; Arapaho of Oklahoma</t>
  </si>
  <si>
    <t>PRJNA327106</t>
  </si>
  <si>
    <t>Raw reads of the microbiota of premature infant gut</t>
  </si>
  <si>
    <t>PRJNA396794</t>
  </si>
  <si>
    <t>Preterm infant gut metagenomes</t>
  </si>
  <si>
    <t>PRJEB12947</t>
  </si>
  <si>
    <t>Changes in taxonomy and functional potential after Roux-en-Y gastric bypass</t>
  </si>
  <si>
    <t>PRJNA382011</t>
  </si>
  <si>
    <t>Comprehensive metagenomic study of the fecal microbiomes from 23 TD patients and seven healthy travelers</t>
  </si>
  <si>
    <t>Mexico and India</t>
  </si>
  <si>
    <t>Traveler's diarrhea</t>
  </si>
  <si>
    <t>PRJNA524170</t>
  </si>
  <si>
    <t>Resistant microbiome underlies antibiotic therapy in pouchitis</t>
  </si>
  <si>
    <t>Israel</t>
  </si>
  <si>
    <t>Pouchitis</t>
  </si>
  <si>
    <t>PRJNA177201</t>
  </si>
  <si>
    <t>Symptomatic atherosclerosis gut metagenome</t>
  </si>
  <si>
    <t>Atherosclerosis</t>
  </si>
  <si>
    <t>PRJEB6092</t>
  </si>
  <si>
    <t>Metagenome fecal microbiota from diet study</t>
  </si>
  <si>
    <t>Australia</t>
  </si>
  <si>
    <t>PRJNA283642</t>
  </si>
  <si>
    <t>Gut microbiome profiling of pediatric patients undergoing stem cell transplantation</t>
  </si>
  <si>
    <t>Intestinal graft-versus-host disease</t>
  </si>
  <si>
    <t>PRJNA339012</t>
  </si>
  <si>
    <r>
      <t xml:space="preserve">Metagenomics analysis of donor and recepient samples from FMT for recurrent </t>
    </r>
    <r>
      <rPr>
        <i/>
        <sz val="12"/>
        <color theme="1"/>
        <rFont val="Aptos Narrow"/>
        <family val="2"/>
        <scheme val="minor"/>
      </rPr>
      <t>Clostridium difficile</t>
    </r>
    <r>
      <rPr>
        <sz val="12"/>
        <color theme="1"/>
        <rFont val="Aptos Narrow"/>
        <family val="2"/>
        <scheme val="minor"/>
      </rPr>
      <t xml:space="preserve"> infection</t>
    </r>
  </si>
  <si>
    <r>
      <rPr>
        <i/>
        <sz val="12"/>
        <color theme="1"/>
        <rFont val="Aptos Narrow"/>
        <family val="2"/>
        <scheme val="minor"/>
      </rPr>
      <t>Clostridioides difficile</t>
    </r>
    <r>
      <rPr>
        <sz val="12"/>
        <color theme="1"/>
        <rFont val="Aptos Narrow"/>
        <family val="2"/>
        <scheme val="minor"/>
      </rPr>
      <t xml:space="preserve"> infection and fecal microbiota transplant</t>
    </r>
  </si>
  <si>
    <t>PRJNA28117</t>
  </si>
  <si>
    <t>Gut metagenomes collected from 13 healthy individuals</t>
  </si>
  <si>
    <t>both</t>
  </si>
  <si>
    <t>PRJNA508395</t>
  </si>
  <si>
    <t>Nanopore long read assembly of the human gut metagenome</t>
  </si>
  <si>
    <t>PRJNA272371</t>
  </si>
  <si>
    <t>Fecal microbiome of eczema children</t>
  </si>
  <si>
    <t>India, Malaysia, China</t>
  </si>
  <si>
    <t>Eczema</t>
  </si>
  <si>
    <t>PRJNA294605</t>
  </si>
  <si>
    <t>Metagenomes from 11 human infant fecal samples; hospitalized in the same ICU</t>
  </si>
  <si>
    <t>Infants in ICU</t>
  </si>
  <si>
    <t>PRJNA311208</t>
  </si>
  <si>
    <t>Prospective cohort study using metagenomics to characterize gut microbiota populations of pediatric short bowel syndrome</t>
  </si>
  <si>
    <t>Short bowel syndrome</t>
  </si>
  <si>
    <t>PRJNA353655</t>
  </si>
  <si>
    <t>De novo reconstruction of bacterial genomes allows high-resolution tracking of microbial colonization in FMT experiments</t>
  </si>
  <si>
    <t>Fecal microbiota transplant</t>
  </si>
  <si>
    <t>PRJNA627086</t>
  </si>
  <si>
    <t>Proximity ligation based characterization of 10 human gut samples</t>
  </si>
  <si>
    <t>PRJEB15371</t>
  </si>
  <si>
    <t>Metagenomic shotgun sequencing; impact of EEN on Crohn's disease microbiome</t>
  </si>
  <si>
    <t>Crohn's disease</t>
  </si>
  <si>
    <t>PRJNA288562</t>
  </si>
  <si>
    <t>Temporal and spatial variation of the human microbiota during pregnancy</t>
  </si>
  <si>
    <t xml:space="preserve">over 3 </t>
  </si>
  <si>
    <t>Pregnancy</t>
  </si>
  <si>
    <t>PRJNA298362</t>
  </si>
  <si>
    <t>Functional dynamics of the elderly gut microbiome during probiotic consumption</t>
  </si>
  <si>
    <t>PRJNA321753</t>
  </si>
  <si>
    <r>
      <t xml:space="preserve">Stool shotgun metagenomics from two geographically isolated </t>
    </r>
    <r>
      <rPr>
        <i/>
        <sz val="12"/>
        <color theme="1"/>
        <rFont val="Aptos Narrow"/>
        <scheme val="minor"/>
      </rPr>
      <t xml:space="preserve">Salmonella enterica </t>
    </r>
    <r>
      <rPr>
        <sz val="12"/>
        <color theme="1"/>
        <rFont val="Aptos Narrow"/>
        <family val="2"/>
        <scheme val="minor"/>
      </rPr>
      <t>serovar Heidelberg outbreaks</t>
    </r>
  </si>
  <si>
    <r>
      <rPr>
        <i/>
        <sz val="12"/>
        <color theme="1"/>
        <rFont val="Aptos Narrow"/>
        <scheme val="minor"/>
      </rPr>
      <t xml:space="preserve">Salmonella </t>
    </r>
    <r>
      <rPr>
        <sz val="12"/>
        <color theme="1"/>
        <rFont val="Aptos Narrow"/>
        <scheme val="minor"/>
      </rPr>
      <t>Heidelberg infection</t>
    </r>
  </si>
  <si>
    <t>Shotgun metagenomic data from stool samples collected from four pairs of matched T1D case-control subjects</t>
  </si>
  <si>
    <t>Finland</t>
  </si>
  <si>
    <t>PRJNA434731</t>
  </si>
  <si>
    <t>Metagenome or environmental sample from human gut metagenome, assemblies included</t>
  </si>
  <si>
    <t>Hematopoeietic cell transplantation</t>
  </si>
  <si>
    <t>PRJEB20539</t>
  </si>
  <si>
    <t>Metagenomic sequencing of the microbiota obtained from fecal samples from 6 healthy humans; investigating role of spore-forming bacteria</t>
  </si>
  <si>
    <t>PRJNA308846</t>
  </si>
  <si>
    <t>Human fecal samples raw sequence reads</t>
  </si>
  <si>
    <t>PRJNA298489</t>
  </si>
  <si>
    <t>Investigates how library preparation and sequencing protocol influence the taxonomy and function analysis of microbial species in human microbiome research</t>
  </si>
  <si>
    <t>PRJNA324672</t>
  </si>
  <si>
    <t>Gut metagenomes were isolated from people living in the Central region of Russia</t>
  </si>
  <si>
    <t>Russia</t>
  </si>
  <si>
    <t>PRJNA243036 </t>
  </si>
  <si>
    <t>Systematic comparison of the DNA extraction methods on fecal samples</t>
  </si>
  <si>
    <t>Gut microbiota of a morbidly obese human</t>
  </si>
  <si>
    <t>PRJNA380276</t>
  </si>
  <si>
    <t>Human gut metagenome, marine sediment metagenome, and synthetic metagenome; our samples are human metagenome assemblies</t>
  </si>
  <si>
    <t>PRJNA16729</t>
  </si>
  <si>
    <t>A metagenomic study of the microorganisms in the human distal gut</t>
  </si>
  <si>
    <t>PRJNA221723</t>
  </si>
  <si>
    <t>Gut metagenome of a premature infant isolated from fecal samples</t>
  </si>
  <si>
    <t>PRJNA287207</t>
  </si>
  <si>
    <t>Evaluation of vertical transmission between mother-infant</t>
  </si>
  <si>
    <t>Italy</t>
  </si>
  <si>
    <t>PRJNA423297</t>
  </si>
  <si>
    <t>Human gut microbiome in irritable bowel disease</t>
  </si>
  <si>
    <t>Irritable bowel disease</t>
  </si>
  <si>
    <t>PRJNA684904</t>
  </si>
  <si>
    <t>Human gut metagenome sequencing and assembly</t>
  </si>
  <si>
    <t>South Africa</t>
  </si>
  <si>
    <t>Diarrhea</t>
  </si>
  <si>
    <t>3rd week of life of a premature male infant; metagenome</t>
  </si>
  <si>
    <t>PRJEB23711</t>
  </si>
  <si>
    <t>Infant gut microbiome study</t>
  </si>
  <si>
    <t>Singapore</t>
  </si>
  <si>
    <t>PRJNA321218</t>
  </si>
  <si>
    <t>Human gut and groundwater harbor non-photosynthetic bacteria</t>
  </si>
  <si>
    <t>United Kingdom</t>
  </si>
  <si>
    <t>PRJNA343144</t>
  </si>
  <si>
    <t>Infant gut microbiome metagenomic assembly</t>
  </si>
  <si>
    <t>PRJNA482702</t>
  </si>
  <si>
    <t>Human metagenome isolated from feces of healthy adult male</t>
  </si>
  <si>
    <t>PRJNA60717</t>
  </si>
  <si>
    <t>Metagenomic analysis of infant stool sample; a premature infant born at 28 weeks</t>
  </si>
  <si>
    <t>Cluster Rep</t>
  </si>
  <si>
    <t>Species 1</t>
  </si>
  <si>
    <t>Species 2</t>
  </si>
  <si>
    <t>Blast percent ID</t>
  </si>
  <si>
    <t>Bilophila_wadsworthia__BilWads6</t>
  </si>
  <si>
    <t>BilSpec3</t>
  </si>
  <si>
    <t>BilWads6</t>
  </si>
  <si>
    <t>Desulfovibrio_piger__DslPige3</t>
  </si>
  <si>
    <t>DslPige3</t>
  </si>
  <si>
    <t>DslPige4</t>
  </si>
  <si>
    <t># results copied from blast_015.out files, excluding repeats and pairs between the same species</t>
  </si>
  <si>
    <t>DslPige2</t>
  </si>
  <si>
    <t>Desulfovibrio_sp._6_1_46AFAA__DsvSp231</t>
  </si>
  <si>
    <t>DsvSp230</t>
  </si>
  <si>
    <t>DsvSp231</t>
  </si>
  <si>
    <t>DsvSp233</t>
  </si>
  <si>
    <t>Gordonibacter_pamelaeae__GrdPame5</t>
  </si>
  <si>
    <t>GrdPame5</t>
  </si>
  <si>
    <t>FP929047</t>
  </si>
  <si>
    <t>uncultured_bacterium__EF645667</t>
  </si>
  <si>
    <t>EF645667</t>
  </si>
  <si>
    <t>EF645664</t>
  </si>
  <si>
    <t>EF645665</t>
  </si>
  <si>
    <t>DslSimpl</t>
  </si>
  <si>
    <t>DslAfri3</t>
  </si>
  <si>
    <t>DslDes17</t>
  </si>
  <si>
    <t>CP001358</t>
  </si>
  <si>
    <t>Remaining 18 clusters have only the rep species included in them</t>
  </si>
  <si>
    <t>Sample SSRM prevalence</t>
  </si>
  <si>
    <t>Sequencing depth notes</t>
  </si>
  <si>
    <t>Source</t>
  </si>
  <si>
    <t>Additional notes</t>
  </si>
  <si>
    <t>"After sequencing and before biocomputing quality control, the sequencing depth (mean ±s.d.) for DNA was 3.8 ± 1.6 giganucleotides (Gnt). After quality control, it was 1.8 ± 0.7 Gnt"</t>
  </si>
  <si>
    <t>3.8 (pre-QC)</t>
  </si>
  <si>
    <t>https://doi.org/10.1038/s41564-017-0096-0</t>
  </si>
  <si>
    <t>"Metagenomic libraries were sequenced on the Illumina HiSeq 2500 platform, targeting ~2.5 Gb of sequence per
sample with 101 bp, paired-end reads." ; document S1</t>
  </si>
  <si>
    <t>2.5 (pre-QC)</t>
  </si>
  <si>
    <t>https://doi.org/10.1016/j.cell.2016.04.007</t>
  </si>
  <si>
    <t>"One paired-end library with insert size of 350 bp for each sample was built and sequenced with 100 bp read length from each end. Adaptor contamination, low-quality reads, and host contaminating reads were removed from the raw sequencing reads sets. On average 39.9 million high-quality reads per sample were generated for further analyses. The proportion of high-quality reads among all raw reads from each sample was 86.7% on average." 46.0 million pre-QC accorfing to Table S2</t>
  </si>
  <si>
    <t>9.2 (pre-QC)</t>
  </si>
  <si>
    <t>https://doi.org/10.1016/j.chom.2015.04.004</t>
  </si>
  <si>
    <t>"Subsequently, samples were submitted for paired-end 150-bp sequencing using the Illumina HiSeq 2500 platform at GTAC.... In total, 401 samples across 10 HiSeq lanes were sequenced to sufficient depth (1 million reads) for microbiome and resistome analyses. Technical replicates (two or three) of each fecal metagenomic DNA sample were individually barcoded and pooled for sequencing, and total reads per biological sample were used for analysis." According to Table S1, average of 9.16 million reads per sample ("Shotgun:NumSeq_Total", includes about 15 samples not in our dataset, but good approximation) so divide this by 2.5 to get the average for an individual replicate.</t>
  </si>
  <si>
    <t>1.1 (pre-QC)</t>
  </si>
  <si>
    <t>https://doi.org/10.1038/nmicrobiol.2016.24</t>
  </si>
  <si>
    <t>supplemental: "obtain around 20 million PE
reads. The reads length for each end is 75bp-90bp (75bp and 90bp read length in
stage I samples; 90bp read length for stage II samples). High quality reads were
extracted by filtering low quality reads with ‘N’ base, adapter contamination or
human DNA contamination from the Illumina raw data. On average, the proportion
of high quality reads in all samples was about 98.1%, and the actual insert size of our
PE library ranges from 313bp to 381bp."</t>
  </si>
  <si>
    <t>3.3 (pre-QC)</t>
  </si>
  <si>
    <t>https://doi.org/10.1038/nature11450</t>
  </si>
  <si>
    <t>"Finally, we generated 26.0 million–186.1 million high-quality reads for the 292 samples, with an average of 68.2 million high-quality reads. Sequencing read length of the first batch of 15 samples was 44 bp, the second batch was 75 bp, and the third batch was 75 bp and 90 bp....An average of 34.1 million paired-end reads were produced for each sample and, after removing human contamination"</t>
  </si>
  <si>
    <t>5.1 (pre-QC)</t>
  </si>
  <si>
    <t xml:space="preserve">https://doi.org/10.1038/nature12506
</t>
  </si>
  <si>
    <t xml:space="preserve">Table S26 average over 257 samples </t>
  </si>
  <si>
    <t>5.5 (pre-QC)</t>
  </si>
  <si>
    <t>https://doi.org/10.1038/nm.4358</t>
  </si>
  <si>
    <t>Average taken from the samples we have extracted from supplementary table 1</t>
  </si>
  <si>
    <t>11.9 (pre-QC)</t>
  </si>
  <si>
    <t>https://doi.org/10.1038/nbt.2942</t>
  </si>
  <si>
    <t>"All were subjected to Illumina deep sequencing resulting in 4.5 Gb sequence per sample on average, and a total of 23.2 billion high-quality sequencing reads with an average length of 77 bp." Using Supplementary Data 1, Raw bases is 4.9 Gnt across the samples we have.</t>
  </si>
  <si>
    <t>4.9 (pre-QC)</t>
  </si>
  <si>
    <t>https://doi.org/10.1038/nbt.2939</t>
  </si>
  <si>
    <t>"Paired-end metagenomic sequencing was done on the Illumina platform (insert size, 350 bp; read length, 100 bp)"; no sequencing stats were found</t>
  </si>
  <si>
    <t>https://doi.org/10.1038/nm.3914</t>
  </si>
  <si>
    <t>varies based on sequencing type, supplemental</t>
  </si>
  <si>
    <t>https://doi.org/10.1093/dnares/dsw002</t>
  </si>
  <si>
    <t xml:space="preserve">This study could have a slightly higher prevalence because some of the samples appear to be single-end reads (e.g. a subject might have samples from 4 data points but each of those samples are sequenced in different manners). The S1 table does not say which timepoint corresponds to which sequencing method. </t>
  </si>
  <si>
    <t xml:space="preserve">"Paired-end metagenomic sequencing was performed on the Illumina platform (insert size 350 bp, read length 100 bp)"; supp. Dataset 2 average raw reads count: 5,638,188,181 </t>
  </si>
  <si>
    <t>5.6 (pre-QC)</t>
  </si>
  <si>
    <t>https://doi.org/10.1038/ncomms7528</t>
  </si>
  <si>
    <t>presented as if it is reads but it has to be bases, based on what was uploaded to the SRA</t>
  </si>
  <si>
    <t>"Illumina Hiseq 4000 platform with 150 bp paired-end read length" average of clean bases from Table S3</t>
  </si>
  <si>
    <t>6.1 (post-QC)</t>
  </si>
  <si>
    <t>https://doi.org/10.1080/19490976.2019.1700754</t>
  </si>
  <si>
    <t>calculation doesn’t include all of the samples</t>
  </si>
  <si>
    <t>from table S2: average raw reads cases (60496561) and controls (60162577)</t>
  </si>
  <si>
    <t>12.1 (pre-QC)</t>
  </si>
  <si>
    <t>https://doi.org/10.1136/gutjnl-2015-309800</t>
  </si>
  <si>
    <t>assuming length of 100 based on uploaded SRA calculations (bases/spots)</t>
  </si>
  <si>
    <t>"Samples were pooled at equal nanomolar concentration and either 125- or 150-base paired-end reads were generated on the Illumina NextSeq and HiSeq instruments." additional file 1: mWGS raw reads: 26,202,286 (± 6,757,859)</t>
  </si>
  <si>
    <t>7.9 (pre-QC)</t>
  </si>
  <si>
    <t>https://doi.org/10.1186/s40168-017-0320-4</t>
  </si>
  <si>
    <t>"The samples were sequenced with a 100-bp read length for paired-end sequences at the Genomics Core Facility, European Molecular Biology Laboratory, Heidelberg, Germany with a targeted sequencing depth of 5 Gbp."</t>
  </si>
  <si>
    <t>5 (pre-QC)</t>
  </si>
  <si>
    <t>https://doi.org/10.1371/journal.pone.0155362</t>
  </si>
  <si>
    <t>This depth seems low compared to what is reported on NCBI</t>
  </si>
  <si>
    <t>supplementary methods: "...high-throughput sequencing to obtain around 30 million
PE reads with a of length 2x100bp."</t>
  </si>
  <si>
    <t>6 (pre-QC)</t>
  </si>
  <si>
    <t>https://doi.org/10.1038/srep22525</t>
  </si>
  <si>
    <t>very likely this paper</t>
  </si>
  <si>
    <t>"Sequencing was done with 2x100 nucleotides (paired-end sequencing) ... Samples were sequenced with a sequencing depth of 10.9 million reads per paired-end sequencing file (s = 6.3 million)."</t>
  </si>
  <si>
    <t>2.2 (pre-QC)</t>
  </si>
  <si>
    <t>https://doi.org/10.1371/journal.pone.0149564</t>
  </si>
  <si>
    <t>10.8 (pre-QC)</t>
  </si>
  <si>
    <t>likely this paper</t>
  </si>
  <si>
    <t>Supplemental: "For each library, eight
samples were pooled in order to achieve around 15 million reads/lane….100 bp paired-end read sequencing"</t>
  </si>
  <si>
    <t>3 (pre-QC)</t>
  </si>
  <si>
    <t>https://doi.org/10.1016/j.chom.2016.09.001</t>
  </si>
  <si>
    <t>NCBI uploads suggest it is 15 million reads per sample</t>
  </si>
  <si>
    <t>"shotgun sequenced (paired end)"; raw bases average 7,771,222,509 and average read length 100 (see additional file 3)</t>
  </si>
  <si>
    <t>7.8 (pre-QC)</t>
  </si>
  <si>
    <t>https://doi.org/10.1186/s13073-017-0428-y</t>
  </si>
  <si>
    <t>Hard to tell how they are reporting the stats because they don't clearly match NCBI uploads</t>
  </si>
  <si>
    <t>"Samples with fewer than 1 million total reads (paired and unpaired) were excluded from further analysis." Supplemental only contains read info for assemblies</t>
  </si>
  <si>
    <t>https://doi.org/10.1038/nature17672</t>
  </si>
  <si>
    <t>Supplementary materials: "Sequencing
libraries were paired-end sequenced (100bp read length) to a targeted raw sequencing
depth of 7 Gbp"</t>
  </si>
  <si>
    <t>7 (pre-QC)</t>
  </si>
  <si>
    <t>https://doi.org/10.1126/science.aad8852</t>
  </si>
  <si>
    <t>"DNA was sequenced with 101 bp (per paired end) on a HiSeq2000 system (Illumina) by BGI." and from supplementary table 3: "metagenomic data (after quality filtering)*": mean 3,850 Mbp ("*statistics on metagenomic data include only samples for which coupled metatranscriptomic and metaproteomic data were obtained.")</t>
  </si>
  <si>
    <t>3.9 (post-QC)</t>
  </si>
  <si>
    <t xml:space="preserve">https://doi.org/10.1038/nmicrobiol.2016.180
</t>
  </si>
  <si>
    <t>"Metagenomic libraries were sequenced on the Illumina HiSeq 2500 platform, targeting ~5.0 Gb of sequence per sample with 101 bp, paired-end reads."</t>
  </si>
  <si>
    <t>https://doi.org/10.1097/MIB.0000000000000893</t>
  </si>
  <si>
    <t>"total #bp in trimmed reads"; average taken from 48 samples in table S2 (two in ncbi but not in the table)</t>
  </si>
  <si>
    <t>2.9 (post-QC)</t>
  </si>
  <si>
    <t>https://doi.org/10.7554/eLife.05477</t>
  </si>
  <si>
    <t>Sweden</t>
  </si>
  <si>
    <t>Reads to Gigabases calculation</t>
  </si>
  <si>
    <t>Depth in Gb, pre- or post-"QC" (trim, human-reads removal,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</si>
</sst>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
  </numFmts>
  <fonts count="17" x14ac:knownFonts="1">
    <font>
      <sz val="12"/>
      <color theme="1"/>
      <name val="Aptos Narrow"/>
      <family val="2"/>
      <scheme val="minor"/>
    </font>
    <font>
      <b/>
      <sz val="12"/>
      <color theme="1"/>
      <name val="Aptos Narrow"/>
      <family val="2"/>
      <scheme val="minor"/>
    </font>
    <font>
      <sz val="12"/>
      <color theme="1"/>
      <name val="Aptos Narrow"/>
      <scheme val="minor"/>
    </font>
    <font>
      <sz val="12"/>
      <color rgb="FF000000"/>
      <name val="Aptos Narrow"/>
      <scheme val="minor"/>
    </font>
    <font>
      <u/>
      <sz val="12"/>
      <color theme="10"/>
      <name val="Aptos Narrow"/>
      <family val="2"/>
      <scheme val="minor"/>
    </font>
    <font>
      <i/>
      <sz val="12"/>
      <color theme="1"/>
      <name val="Aptos Narrow"/>
      <scheme val="minor"/>
    </font>
    <font>
      <i/>
      <sz val="12"/>
      <color theme="1"/>
      <name val="Aptos Narrow"/>
      <family val="2"/>
      <scheme val="minor"/>
    </font>
    <font>
      <b/>
      <sz val="12"/>
      <color theme="1"/>
      <name val="Aptos Narrow"/>
      <scheme val="minor"/>
    </font>
    <font>
      <sz val="10"/>
      <color rgb="FF000000"/>
      <name val="Aptos Narrow"/>
      <family val="2"/>
      <scheme val="minor"/>
    </font>
    <font>
      <b/>
      <sz val="10"/>
      <color rgb="FFFF0000"/>
      <name val="Aptos Narrow"/>
      <family val="2"/>
      <scheme val="minor"/>
    </font>
    <font>
      <b/>
      <sz val="10"/>
      <color theme="1"/>
      <name val="Aptos Narrow"/>
      <family val="2"/>
      <scheme val="minor"/>
    </font>
    <font>
      <sz val="10"/>
      <color rgb="FF999999"/>
      <name val="Aptos Narrow"/>
      <family val="2"/>
      <scheme val="minor"/>
    </font>
    <font>
      <sz val="10"/>
      <color theme="1"/>
      <name val="Aptos Narrow"/>
      <family val="2"/>
      <scheme val="minor"/>
    </font>
    <font>
      <sz val="10"/>
      <color rgb="FF000000"/>
      <name val="Arial Unicode MS"/>
      <family val="2"/>
    </font>
    <font>
      <sz val="12"/>
      <color theme="1"/>
      <name val="Aptos Narrow"/>
      <family val="2"/>
      <scheme val="minor"/>
    </font>
    <font>
      <sz val="12"/>
      <color rgb="FF000000"/>
      <name val="Times New Roman"/>
      <family val="1"/>
    </font>
    <font>
      <sz val="12"/>
      <color rgb="FF000000"/>
      <name val="Aptos Narrow"/>
      <family val="2"/>
      <scheme val="minor"/>
    </font>
  </fonts>
  <fills count="7">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theme="0"/>
        <bgColor indexed="64"/>
      </patternFill>
    </fill>
  </fills>
  <borders count="6">
    <border>
      <left/>
      <right/>
      <top/>
      <bottom/>
      <diagonal/>
    </border>
    <border>
      <left/>
      <right/>
      <top style="thin">
        <color theme="1"/>
      </top>
      <bottom/>
      <diagonal/>
    </border>
    <border>
      <left/>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4">
    <xf numFmtId="0" fontId="0" fillId="0" borderId="0"/>
    <xf numFmtId="0" fontId="4" fillId="0" borderId="0" applyNumberFormat="0" applyFill="0" applyBorder="0" applyAlignment="0" applyProtection="0"/>
    <xf numFmtId="0" fontId="8" fillId="0" borderId="0"/>
    <xf numFmtId="9" fontId="14" fillId="0" borderId="0" applyFont="0" applyFill="0" applyBorder="0" applyAlignment="0" applyProtection="0"/>
  </cellStyleXfs>
  <cellXfs count="61">
    <xf numFmtId="0" fontId="0" fillId="0" borderId="0" xfId="0"/>
    <xf numFmtId="0" fontId="0" fillId="0" borderId="0" xfId="0"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2" fillId="0" borderId="0" xfId="1" applyFont="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center" vertical="center"/>
    </xf>
    <xf numFmtId="0" fontId="9" fillId="2" borderId="0" xfId="2" applyFont="1" applyFill="1"/>
    <xf numFmtId="0" fontId="8" fillId="0" borderId="0" xfId="2"/>
    <xf numFmtId="0" fontId="10" fillId="0" borderId="0" xfId="2" applyFont="1"/>
    <xf numFmtId="0" fontId="11" fillId="0" borderId="0" xfId="2" applyFont="1"/>
    <xf numFmtId="164" fontId="11" fillId="0" borderId="0" xfId="2" applyNumberFormat="1" applyFont="1"/>
    <xf numFmtId="3" fontId="11" fillId="0" borderId="0" xfId="2" applyNumberFormat="1" applyFont="1"/>
    <xf numFmtId="0" fontId="12" fillId="0" borderId="0" xfId="2" applyFont="1"/>
    <xf numFmtId="164" fontId="12" fillId="0" borderId="0" xfId="2" applyNumberFormat="1" applyFont="1"/>
    <xf numFmtId="3" fontId="12" fillId="0" borderId="0" xfId="2" applyNumberFormat="1" applyFont="1"/>
    <xf numFmtId="3" fontId="10" fillId="3" borderId="0" xfId="2" applyNumberFormat="1" applyFont="1" applyFill="1"/>
    <xf numFmtId="0" fontId="13" fillId="0" borderId="0" xfId="0" applyFont="1"/>
    <xf numFmtId="0" fontId="1" fillId="4" borderId="1" xfId="0" applyFont="1" applyFill="1" applyBorder="1" applyAlignment="1">
      <alignment horizontal="center" vertical="center"/>
    </xf>
    <xf numFmtId="0" fontId="1" fillId="4" borderId="0" xfId="0" applyFont="1" applyFill="1" applyAlignment="1">
      <alignment horizontal="center" vertical="center"/>
    </xf>
    <xf numFmtId="0" fontId="1" fillId="4" borderId="1" xfId="0" applyFont="1" applyFill="1" applyBorder="1" applyAlignment="1">
      <alignment horizontal="center" vertical="center" wrapText="1"/>
    </xf>
    <xf numFmtId="0" fontId="7" fillId="5" borderId="0" xfId="0" applyFont="1" applyFill="1" applyAlignment="1">
      <alignment horizontal="center" vertical="center"/>
    </xf>
    <xf numFmtId="10" fontId="0" fillId="0" borderId="0" xfId="3" applyNumberFormat="1" applyFont="1" applyAlignment="1">
      <alignment horizontal="center" vertical="center"/>
    </xf>
    <xf numFmtId="0" fontId="0" fillId="4" borderId="0" xfId="0" applyFill="1" applyAlignment="1">
      <alignment horizontal="center" vertical="center"/>
    </xf>
    <xf numFmtId="0" fontId="0" fillId="4" borderId="0" xfId="0" applyFill="1" applyAlignment="1">
      <alignment horizontal="center" vertical="center" wrapText="1"/>
    </xf>
    <xf numFmtId="10" fontId="0" fillId="5" borderId="0" xfId="3" applyNumberFormat="1" applyFont="1" applyFill="1" applyAlignment="1">
      <alignment horizontal="center" vertical="center"/>
    </xf>
    <xf numFmtId="0" fontId="0" fillId="5" borderId="0" xfId="0" applyFill="1" applyAlignment="1">
      <alignment horizontal="center" vertical="center" wrapText="1"/>
    </xf>
    <xf numFmtId="0" fontId="0" fillId="5" borderId="0" xfId="0" applyFill="1" applyAlignment="1">
      <alignment horizontal="center" vertical="center"/>
    </xf>
    <xf numFmtId="9" fontId="0" fillId="0" borderId="0" xfId="3" applyFont="1" applyAlignment="1">
      <alignment horizontal="center" vertical="center"/>
    </xf>
    <xf numFmtId="9" fontId="0" fillId="5" borderId="0" xfId="3" applyFont="1" applyFill="1" applyAlignment="1">
      <alignment horizontal="center" vertical="center"/>
    </xf>
    <xf numFmtId="165" fontId="0" fillId="0" borderId="0" xfId="3" applyNumberFormat="1" applyFont="1" applyAlignment="1">
      <alignment horizontal="center" vertical="center"/>
    </xf>
    <xf numFmtId="165" fontId="0" fillId="5" borderId="0" xfId="3" applyNumberFormat="1" applyFont="1" applyFill="1" applyAlignment="1">
      <alignment horizontal="center" vertical="center"/>
    </xf>
    <xf numFmtId="0" fontId="0" fillId="5" borderId="0" xfId="0" applyFill="1"/>
    <xf numFmtId="165" fontId="0" fillId="5" borderId="0" xfId="0" applyNumberFormat="1" applyFill="1" applyAlignment="1">
      <alignment horizontal="center" vertical="center"/>
    </xf>
    <xf numFmtId="165" fontId="0" fillId="0" borderId="0" xfId="0" applyNumberFormat="1" applyAlignment="1">
      <alignment horizontal="center" vertical="center"/>
    </xf>
    <xf numFmtId="9" fontId="0" fillId="0" borderId="0" xfId="0" applyNumberFormat="1" applyAlignment="1">
      <alignment horizontal="center" vertical="center"/>
    </xf>
    <xf numFmtId="0" fontId="3" fillId="5" borderId="0" xfId="0" applyFont="1" applyFill="1" applyAlignment="1">
      <alignment horizontal="center" vertical="center" wrapText="1"/>
    </xf>
    <xf numFmtId="0" fontId="15" fillId="5" borderId="0" xfId="0" applyFont="1" applyFill="1" applyAlignment="1">
      <alignment horizontal="center" vertical="center" wrapText="1"/>
    </xf>
    <xf numFmtId="0" fontId="0" fillId="5" borderId="2" xfId="0" applyFill="1" applyBorder="1" applyAlignment="1">
      <alignment horizontal="center" vertical="center"/>
    </xf>
    <xf numFmtId="0" fontId="15" fillId="0" borderId="0" xfId="0" applyFont="1" applyAlignment="1">
      <alignment horizontal="center" vertical="center" wrapText="1"/>
    </xf>
    <xf numFmtId="0" fontId="0" fillId="6" borderId="3" xfId="0" applyFill="1" applyBorder="1" applyAlignment="1">
      <alignment horizontal="center" vertical="center" wrapText="1"/>
    </xf>
    <xf numFmtId="0" fontId="0" fillId="0" borderId="0" xfId="0" applyAlignment="1">
      <alignment wrapText="1"/>
    </xf>
    <xf numFmtId="9" fontId="0" fillId="5" borderId="0" xfId="0" applyNumberFormat="1" applyFill="1" applyAlignment="1">
      <alignment horizontal="center" vertical="center"/>
    </xf>
    <xf numFmtId="0" fontId="16" fillId="0" borderId="0" xfId="0" applyFont="1" applyAlignment="1">
      <alignment horizontal="center" vertical="center"/>
    </xf>
    <xf numFmtId="0" fontId="0" fillId="5" borderId="2" xfId="0" applyFill="1" applyBorder="1" applyAlignment="1">
      <alignment horizontal="center" vertical="center" wrapText="1"/>
    </xf>
    <xf numFmtId="0" fontId="0" fillId="5" borderId="2" xfId="0" applyFill="1" applyBorder="1"/>
    <xf numFmtId="0" fontId="0" fillId="0" borderId="2" xfId="0" applyBorder="1"/>
    <xf numFmtId="9" fontId="0" fillId="0" borderId="4" xfId="0" applyNumberFormat="1" applyBorder="1" applyAlignment="1">
      <alignment horizontal="center" vertical="center"/>
    </xf>
    <xf numFmtId="0" fontId="0" fillId="6" borderId="5" xfId="0" applyFill="1" applyBorder="1" applyAlignment="1">
      <alignment horizontal="center" vertical="center" wrapText="1"/>
    </xf>
    <xf numFmtId="0" fontId="0" fillId="0" borderId="3" xfId="0" applyBorder="1" applyAlignment="1">
      <alignment horizontal="center" vertical="center" wrapText="1"/>
    </xf>
    <xf numFmtId="0" fontId="0" fillId="6" borderId="5" xfId="0" applyFill="1" applyBorder="1" applyAlignment="1">
      <alignment horizontal="center" vertical="center"/>
    </xf>
    <xf numFmtId="0" fontId="12" fillId="0" borderId="0" xfId="2" applyFont="1"/>
    <xf numFmtId="0" fontId="8" fillId="0" borderId="0" xfId="2"/>
    <xf numFmtId="164" fontId="12" fillId="0" borderId="0" xfId="2" applyNumberFormat="1" applyFont="1"/>
    <xf numFmtId="0" fontId="10" fillId="0" borderId="0" xfId="2" applyFont="1" applyAlignment="1">
      <alignment horizontal="right"/>
    </xf>
    <xf numFmtId="3" fontId="12" fillId="0" borderId="0" xfId="2" applyNumberFormat="1" applyFont="1"/>
    <xf numFmtId="0" fontId="0" fillId="0" borderId="0" xfId="0" applyFont="1" applyAlignment="1">
      <alignment horizontal="center" vertical="center"/>
    </xf>
  </cellXfs>
  <cellStyles count="4">
    <cellStyle name="Hyperlink" xfId="1" builtinId="8"/>
    <cellStyle name="Normal" xfId="0" builtinId="0"/>
    <cellStyle name="Normal 2" xfId="2" xr:uid="{EACDC065-BB07-0B49-B138-CE0187A46AC0}"/>
    <cellStyle name="Percent" xfId="3" builtinId="5"/>
  </cellStyles>
  <dxfs count="14">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Aptos Narrow"/>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dxf>
    <dxf>
      <font>
        <b/>
        <i val="0"/>
        <strike val="0"/>
        <condense val="0"/>
        <extend val="0"/>
        <outline val="0"/>
        <shadow val="0"/>
        <u val="none"/>
        <vertAlign val="baseline"/>
        <sz val="12"/>
        <color theme="1"/>
        <name val="Aptos Narrow"/>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F4FC97-2235-DB43-8C8D-D14EB95ECDB4}" name="Table1" displayName="Table1" ref="A1:F72" headerRowCount="0" totalsRowShown="0" headerRowDxfId="13" dataDxfId="12">
  <sortState xmlns:xlrd2="http://schemas.microsoft.com/office/spreadsheetml/2017/richdata2" ref="A1:F72">
    <sortCondition descending="1" ref="B2:B72"/>
  </sortState>
  <tableColumns count="6">
    <tableColumn id="1" xr3:uid="{D1879123-4BF0-9345-AAAD-64523573EB61}" name="Project accession" headerRowDxfId="11" dataDxfId="10"/>
    <tableColumn id="2" xr3:uid="{0B22C83A-F597-8C4F-A431-991BA24B6B19}" name="Number of biosamples" headerRowDxfId="9" dataDxfId="8"/>
    <tableColumn id="3" xr3:uid="{84D3E3C8-ADF2-1A46-BDB3-63F730E9D83F}" name="Description of project" headerRowDxfId="7" dataDxfId="6"/>
    <tableColumn id="4" xr3:uid="{C4AA723E-3A89-B144-9E42-6210CD85E606}" name="Age category" headerRowDxfId="5" dataDxfId="4"/>
    <tableColumn id="5" xr3:uid="{C96F373A-2076-ED40-B334-2A1EA71656F3}" name="Country" headerRowDxfId="3" dataDxfId="2"/>
    <tableColumn id="6" xr3:uid="{6CB35FAC-B369-7F4D-AEF2-58C6637E5AA2}" name="Disease state (case, control)" headerRowDxfId="1"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D040E-64E1-BC44-85EE-D90FE23AD4AD}">
  <sheetPr>
    <outlinePr summaryBelow="0" summaryRight="0"/>
  </sheetPr>
  <dimension ref="A1:Z59"/>
  <sheetViews>
    <sheetView workbookViewId="0">
      <selection activeCell="H14" sqref="H14"/>
    </sheetView>
  </sheetViews>
  <sheetFormatPr baseColWidth="10" defaultColWidth="12.6640625" defaultRowHeight="15.75" customHeight="1" x14ac:dyDescent="0.2"/>
  <cols>
    <col min="1" max="1" width="19.83203125" style="12" customWidth="1"/>
    <col min="2" max="2" width="12.6640625" style="12"/>
    <col min="3" max="3" width="20" style="12" customWidth="1"/>
    <col min="4" max="4" width="26.33203125" style="12" customWidth="1"/>
    <col min="5" max="5" width="15.33203125" style="12" customWidth="1"/>
    <col min="6" max="7" width="24" style="12" customWidth="1"/>
    <col min="8" max="8" width="54.6640625" style="12" customWidth="1"/>
    <col min="9" max="16384" width="12.6640625" style="12"/>
  </cols>
  <sheetData>
    <row r="1" spans="1:26" ht="15.75" customHeight="1" x14ac:dyDescent="0.2">
      <c r="A1" s="11" t="s">
        <v>0</v>
      </c>
    </row>
    <row r="2" spans="1:26" ht="15.75" customHeight="1" x14ac:dyDescent="0.2">
      <c r="A2" s="13" t="s">
        <v>1</v>
      </c>
      <c r="B2" s="13" t="s">
        <v>2</v>
      </c>
      <c r="C2" s="13" t="s">
        <v>3</v>
      </c>
      <c r="D2" s="13" t="s">
        <v>4</v>
      </c>
      <c r="E2" s="13" t="s">
        <v>5</v>
      </c>
      <c r="F2" s="13" t="s">
        <v>6</v>
      </c>
      <c r="G2" s="13" t="s">
        <v>7</v>
      </c>
      <c r="H2" s="13" t="s">
        <v>8</v>
      </c>
    </row>
    <row r="3" spans="1:26" ht="15.75" customHeight="1" x14ac:dyDescent="0.2">
      <c r="A3" s="14" t="s">
        <v>9</v>
      </c>
      <c r="B3" s="15">
        <v>44593</v>
      </c>
      <c r="C3" s="14" t="s">
        <v>10</v>
      </c>
      <c r="D3" s="14" t="s">
        <v>10</v>
      </c>
      <c r="E3" s="16">
        <v>1290429</v>
      </c>
      <c r="F3" s="16"/>
      <c r="G3" s="16"/>
      <c r="H3" s="14" t="s">
        <v>11</v>
      </c>
      <c r="I3" s="14"/>
      <c r="J3" s="14"/>
      <c r="K3" s="14"/>
      <c r="L3" s="14"/>
      <c r="M3" s="14"/>
      <c r="N3" s="14"/>
      <c r="O3" s="14"/>
      <c r="P3" s="14"/>
      <c r="Q3" s="14"/>
      <c r="R3" s="14"/>
      <c r="S3" s="14"/>
      <c r="T3" s="14"/>
      <c r="U3" s="14"/>
      <c r="V3" s="14"/>
      <c r="W3" s="14"/>
      <c r="X3" s="14"/>
      <c r="Y3" s="14"/>
      <c r="Z3" s="14"/>
    </row>
    <row r="4" spans="1:26" ht="15.75" customHeight="1" x14ac:dyDescent="0.2">
      <c r="A4" s="17" t="s">
        <v>12</v>
      </c>
      <c r="B4" s="18">
        <v>44593</v>
      </c>
      <c r="C4" s="17" t="s">
        <v>13</v>
      </c>
      <c r="D4" s="17" t="s">
        <v>14</v>
      </c>
      <c r="E4" s="19">
        <v>9642</v>
      </c>
      <c r="F4" s="19">
        <v>9642</v>
      </c>
      <c r="G4" s="19"/>
      <c r="H4" s="18"/>
    </row>
    <row r="5" spans="1:26" ht="15.75" customHeight="1" x14ac:dyDescent="0.2">
      <c r="A5" s="55" t="s">
        <v>15</v>
      </c>
      <c r="B5" s="57">
        <v>44593</v>
      </c>
      <c r="C5" s="55" t="s">
        <v>16</v>
      </c>
      <c r="D5" s="17" t="s">
        <v>14</v>
      </c>
      <c r="E5" s="59">
        <v>13329</v>
      </c>
      <c r="F5" s="59">
        <v>13329</v>
      </c>
      <c r="G5" s="19"/>
    </row>
    <row r="6" spans="1:26" ht="15.75" customHeight="1" x14ac:dyDescent="0.2">
      <c r="A6" s="56"/>
      <c r="B6" s="56"/>
      <c r="C6" s="56"/>
      <c r="D6" s="17" t="s">
        <v>17</v>
      </c>
      <c r="E6" s="56"/>
      <c r="F6" s="56"/>
      <c r="G6" s="19"/>
    </row>
    <row r="7" spans="1:26" ht="15.75" customHeight="1" x14ac:dyDescent="0.2">
      <c r="A7" s="55" t="s">
        <v>18</v>
      </c>
      <c r="B7" s="57">
        <v>44593</v>
      </c>
      <c r="C7" s="17" t="s">
        <v>19</v>
      </c>
      <c r="D7" s="17" t="s">
        <v>20</v>
      </c>
      <c r="E7" s="59">
        <v>51890</v>
      </c>
      <c r="F7" s="59">
        <v>42314</v>
      </c>
      <c r="G7" s="19"/>
    </row>
    <row r="8" spans="1:26" ht="15.75" customHeight="1" x14ac:dyDescent="0.2">
      <c r="A8" s="56"/>
      <c r="B8" s="56"/>
      <c r="C8" s="55" t="s">
        <v>21</v>
      </c>
      <c r="D8" s="17" t="s">
        <v>22</v>
      </c>
      <c r="E8" s="56"/>
      <c r="F8" s="56"/>
      <c r="G8" s="19"/>
    </row>
    <row r="9" spans="1:26" ht="15.75" customHeight="1" x14ac:dyDescent="0.2">
      <c r="A9" s="56"/>
      <c r="B9" s="56"/>
      <c r="C9" s="56"/>
      <c r="D9" s="17" t="s">
        <v>23</v>
      </c>
      <c r="E9" s="56"/>
      <c r="F9" s="56"/>
      <c r="G9" s="19"/>
    </row>
    <row r="10" spans="1:26" ht="15.75" customHeight="1" x14ac:dyDescent="0.2">
      <c r="A10" s="56"/>
      <c r="B10" s="56"/>
      <c r="C10" s="56"/>
      <c r="D10" s="17" t="s">
        <v>24</v>
      </c>
      <c r="E10" s="56"/>
      <c r="F10" s="56"/>
      <c r="G10" s="19"/>
    </row>
    <row r="11" spans="1:26" ht="15.75" customHeight="1" x14ac:dyDescent="0.2">
      <c r="A11" s="56"/>
      <c r="B11" s="56"/>
      <c r="C11" s="56"/>
      <c r="D11" s="17" t="s">
        <v>25</v>
      </c>
      <c r="E11" s="56"/>
      <c r="F11" s="56"/>
      <c r="G11" s="19"/>
    </row>
    <row r="12" spans="1:26" ht="15.75" customHeight="1" x14ac:dyDescent="0.2">
      <c r="A12" s="56"/>
      <c r="B12" s="56"/>
      <c r="C12" s="56"/>
      <c r="D12" s="17" t="s">
        <v>26</v>
      </c>
      <c r="E12" s="56"/>
      <c r="F12" s="56"/>
      <c r="G12" s="19"/>
    </row>
    <row r="13" spans="1:26" ht="15.75" customHeight="1" x14ac:dyDescent="0.2">
      <c r="A13" s="56"/>
      <c r="B13" s="56"/>
      <c r="C13" s="56"/>
      <c r="D13" s="17" t="s">
        <v>27</v>
      </c>
      <c r="E13" s="56"/>
      <c r="F13" s="56"/>
      <c r="G13" s="19"/>
    </row>
    <row r="14" spans="1:26" ht="15.75" customHeight="1" x14ac:dyDescent="0.2">
      <c r="A14" s="56"/>
      <c r="B14" s="56"/>
      <c r="C14" s="56"/>
      <c r="D14" s="17" t="s">
        <v>28</v>
      </c>
      <c r="E14" s="56"/>
      <c r="F14" s="56"/>
      <c r="G14" s="19"/>
    </row>
    <row r="15" spans="1:26" ht="15.75" customHeight="1" x14ac:dyDescent="0.2">
      <c r="A15" s="56"/>
      <c r="B15" s="56"/>
      <c r="C15" s="56"/>
      <c r="D15" s="17" t="s">
        <v>29</v>
      </c>
      <c r="E15" s="56"/>
      <c r="F15" s="56"/>
      <c r="G15" s="19"/>
    </row>
    <row r="16" spans="1:26" ht="15.75" customHeight="1" x14ac:dyDescent="0.2">
      <c r="A16" s="56"/>
      <c r="B16" s="56"/>
      <c r="C16" s="56"/>
      <c r="D16" s="17" t="s">
        <v>30</v>
      </c>
      <c r="E16" s="56"/>
      <c r="F16" s="56"/>
      <c r="G16" s="19"/>
    </row>
    <row r="17" spans="1:7" ht="15.75" customHeight="1" x14ac:dyDescent="0.2">
      <c r="A17" s="56"/>
      <c r="B17" s="56"/>
      <c r="C17" s="56"/>
      <c r="D17" s="17" t="s">
        <v>31</v>
      </c>
      <c r="E17" s="56"/>
      <c r="F17" s="56"/>
      <c r="G17" s="19"/>
    </row>
    <row r="18" spans="1:7" ht="15.75" customHeight="1" x14ac:dyDescent="0.2">
      <c r="A18" s="56"/>
      <c r="B18" s="56"/>
      <c r="C18" s="56"/>
      <c r="D18" s="17" t="s">
        <v>32</v>
      </c>
      <c r="E18" s="56"/>
      <c r="F18" s="56"/>
      <c r="G18" s="19"/>
    </row>
    <row r="19" spans="1:7" ht="15.75" customHeight="1" x14ac:dyDescent="0.2">
      <c r="A19" s="56"/>
      <c r="B19" s="56"/>
      <c r="C19" s="56"/>
      <c r="D19" s="17" t="s">
        <v>33</v>
      </c>
      <c r="E19" s="56"/>
      <c r="F19" s="56"/>
      <c r="G19" s="19"/>
    </row>
    <row r="20" spans="1:7" ht="15.75" customHeight="1" x14ac:dyDescent="0.2">
      <c r="A20" s="56"/>
      <c r="B20" s="56"/>
      <c r="C20" s="56"/>
      <c r="D20" s="17" t="s">
        <v>34</v>
      </c>
      <c r="E20" s="56"/>
      <c r="F20" s="56"/>
      <c r="G20" s="19"/>
    </row>
    <row r="21" spans="1:7" ht="15.75" customHeight="1" x14ac:dyDescent="0.2">
      <c r="A21" s="56"/>
      <c r="B21" s="56"/>
      <c r="C21" s="56"/>
      <c r="D21" s="17" t="s">
        <v>35</v>
      </c>
      <c r="E21" s="56"/>
      <c r="F21" s="56"/>
      <c r="G21" s="19"/>
    </row>
    <row r="22" spans="1:7" ht="15.75" customHeight="1" x14ac:dyDescent="0.2">
      <c r="A22" s="56"/>
      <c r="B22" s="56"/>
      <c r="C22" s="56"/>
      <c r="D22" s="17" t="s">
        <v>36</v>
      </c>
      <c r="E22" s="56"/>
      <c r="F22" s="56"/>
      <c r="G22" s="19"/>
    </row>
    <row r="23" spans="1:7" ht="15.75" customHeight="1" x14ac:dyDescent="0.2">
      <c r="A23" s="55" t="s">
        <v>37</v>
      </c>
      <c r="B23" s="57">
        <v>44593</v>
      </c>
      <c r="C23" s="17" t="s">
        <v>19</v>
      </c>
      <c r="D23" s="17" t="s">
        <v>20</v>
      </c>
      <c r="E23" s="59">
        <v>24738</v>
      </c>
      <c r="F23" s="59">
        <v>19367</v>
      </c>
      <c r="G23" s="19"/>
    </row>
    <row r="24" spans="1:7" ht="15.75" customHeight="1" x14ac:dyDescent="0.2">
      <c r="A24" s="56"/>
      <c r="B24" s="56"/>
      <c r="C24" s="55" t="s">
        <v>21</v>
      </c>
      <c r="D24" s="17" t="s">
        <v>38</v>
      </c>
      <c r="E24" s="56"/>
      <c r="F24" s="56"/>
      <c r="G24" s="19"/>
    </row>
    <row r="25" spans="1:7" ht="15.75" customHeight="1" x14ac:dyDescent="0.2">
      <c r="A25" s="56"/>
      <c r="B25" s="56"/>
      <c r="C25" s="56"/>
      <c r="D25" s="17" t="s">
        <v>39</v>
      </c>
      <c r="E25" s="56"/>
      <c r="F25" s="56"/>
      <c r="G25" s="19"/>
    </row>
    <row r="26" spans="1:7" ht="15.75" customHeight="1" x14ac:dyDescent="0.2">
      <c r="A26" s="56"/>
      <c r="B26" s="56"/>
      <c r="C26" s="56"/>
      <c r="D26" s="17" t="s">
        <v>40</v>
      </c>
      <c r="E26" s="56"/>
      <c r="F26" s="56"/>
      <c r="G26" s="19"/>
    </row>
    <row r="27" spans="1:7" ht="15.75" customHeight="1" x14ac:dyDescent="0.2">
      <c r="A27" s="56"/>
      <c r="B27" s="56"/>
      <c r="C27" s="56"/>
      <c r="D27" s="17" t="s">
        <v>41</v>
      </c>
      <c r="E27" s="56"/>
      <c r="F27" s="56"/>
      <c r="G27" s="19"/>
    </row>
    <row r="28" spans="1:7" ht="15.75" customHeight="1" x14ac:dyDescent="0.2">
      <c r="A28" s="56"/>
      <c r="B28" s="56"/>
      <c r="C28" s="56"/>
      <c r="D28" s="17" t="s">
        <v>42</v>
      </c>
      <c r="E28" s="56"/>
      <c r="F28" s="56"/>
      <c r="G28" s="19"/>
    </row>
    <row r="29" spans="1:7" ht="15.75" customHeight="1" x14ac:dyDescent="0.2">
      <c r="A29" s="56"/>
      <c r="B29" s="56"/>
      <c r="C29" s="56"/>
      <c r="D29" s="17" t="s">
        <v>43</v>
      </c>
      <c r="E29" s="56"/>
      <c r="F29" s="56"/>
      <c r="G29" s="19"/>
    </row>
    <row r="30" spans="1:7" ht="15.75" customHeight="1" x14ac:dyDescent="0.2">
      <c r="A30" s="56"/>
      <c r="B30" s="56"/>
      <c r="C30" s="56"/>
      <c r="D30" s="17" t="s">
        <v>44</v>
      </c>
      <c r="E30" s="56"/>
      <c r="F30" s="56"/>
      <c r="G30" s="19"/>
    </row>
    <row r="31" spans="1:7" ht="15.75" customHeight="1" x14ac:dyDescent="0.2">
      <c r="A31" s="55" t="s">
        <v>45</v>
      </c>
      <c r="B31" s="57">
        <v>44593</v>
      </c>
      <c r="C31" s="17" t="s">
        <v>19</v>
      </c>
      <c r="D31" s="17" t="s">
        <v>20</v>
      </c>
      <c r="E31" s="55">
        <v>462</v>
      </c>
      <c r="F31" s="55">
        <v>255</v>
      </c>
      <c r="G31" s="17"/>
    </row>
    <row r="32" spans="1:7" ht="15.75" customHeight="1" x14ac:dyDescent="0.2">
      <c r="A32" s="56"/>
      <c r="B32" s="56"/>
      <c r="C32" s="55" t="s">
        <v>21</v>
      </c>
      <c r="D32" s="17" t="s">
        <v>46</v>
      </c>
      <c r="E32" s="56"/>
      <c r="F32" s="56"/>
      <c r="G32" s="17"/>
    </row>
    <row r="33" spans="1:7" ht="15.75" customHeight="1" x14ac:dyDescent="0.2">
      <c r="A33" s="56"/>
      <c r="B33" s="56"/>
      <c r="C33" s="56"/>
      <c r="D33" s="17" t="s">
        <v>47</v>
      </c>
      <c r="E33" s="56"/>
      <c r="F33" s="56"/>
      <c r="G33" s="17"/>
    </row>
    <row r="34" spans="1:7" ht="15.75" customHeight="1" x14ac:dyDescent="0.2">
      <c r="A34" s="55" t="s">
        <v>48</v>
      </c>
      <c r="B34" s="57">
        <v>44594</v>
      </c>
      <c r="C34" s="17" t="s">
        <v>19</v>
      </c>
      <c r="D34" s="17" t="s">
        <v>20</v>
      </c>
      <c r="E34" s="55">
        <v>173</v>
      </c>
      <c r="F34" s="55">
        <v>115</v>
      </c>
      <c r="G34" s="17"/>
    </row>
    <row r="35" spans="1:7" ht="15.75" customHeight="1" x14ac:dyDescent="0.2">
      <c r="A35" s="56"/>
      <c r="B35" s="56"/>
      <c r="C35" s="55" t="s">
        <v>21</v>
      </c>
      <c r="D35" s="17" t="s">
        <v>49</v>
      </c>
      <c r="E35" s="56"/>
      <c r="F35" s="56"/>
      <c r="G35" s="17"/>
    </row>
    <row r="36" spans="1:7" ht="15.75" customHeight="1" x14ac:dyDescent="0.2">
      <c r="A36" s="56"/>
      <c r="B36" s="56"/>
      <c r="C36" s="56"/>
      <c r="D36" s="17" t="s">
        <v>50</v>
      </c>
      <c r="E36" s="56"/>
      <c r="F36" s="56"/>
      <c r="G36" s="17"/>
    </row>
    <row r="37" spans="1:7" ht="15.75" customHeight="1" x14ac:dyDescent="0.2">
      <c r="A37" s="55" t="s">
        <v>51</v>
      </c>
      <c r="B37" s="57">
        <v>44593</v>
      </c>
      <c r="C37" s="17" t="s">
        <v>19</v>
      </c>
      <c r="D37" s="17" t="s">
        <v>20</v>
      </c>
      <c r="E37" s="59">
        <v>6264</v>
      </c>
      <c r="F37" s="59">
        <v>5481</v>
      </c>
      <c r="G37" s="19"/>
    </row>
    <row r="38" spans="1:7" ht="15.75" customHeight="1" x14ac:dyDescent="0.2">
      <c r="A38" s="56"/>
      <c r="B38" s="56"/>
      <c r="C38" s="55" t="s">
        <v>21</v>
      </c>
      <c r="D38" s="17" t="s">
        <v>52</v>
      </c>
      <c r="E38" s="56"/>
      <c r="F38" s="56"/>
      <c r="G38" s="19"/>
    </row>
    <row r="39" spans="1:7" ht="15.75" customHeight="1" x14ac:dyDescent="0.2">
      <c r="A39" s="56"/>
      <c r="B39" s="56"/>
      <c r="C39" s="56"/>
      <c r="D39" s="17" t="s">
        <v>53</v>
      </c>
      <c r="E39" s="56"/>
      <c r="F39" s="56"/>
      <c r="G39" s="19"/>
    </row>
    <row r="40" spans="1:7" ht="15.75" customHeight="1" x14ac:dyDescent="0.2">
      <c r="A40" s="56"/>
      <c r="B40" s="56"/>
      <c r="C40" s="56"/>
      <c r="D40" s="17" t="s">
        <v>54</v>
      </c>
      <c r="E40" s="56"/>
      <c r="F40" s="56"/>
      <c r="G40" s="19"/>
    </row>
    <row r="41" spans="1:7" ht="15.75" customHeight="1" x14ac:dyDescent="0.2">
      <c r="A41" s="56"/>
      <c r="B41" s="56"/>
      <c r="C41" s="56"/>
      <c r="D41" s="17" t="s">
        <v>52</v>
      </c>
      <c r="E41" s="56"/>
      <c r="F41" s="56"/>
      <c r="G41" s="19"/>
    </row>
    <row r="42" spans="1:7" ht="15.75" customHeight="1" x14ac:dyDescent="0.2">
      <c r="A42" s="56"/>
      <c r="B42" s="56"/>
      <c r="C42" s="56"/>
      <c r="D42" s="17" t="s">
        <v>55</v>
      </c>
      <c r="E42" s="56"/>
      <c r="F42" s="56"/>
      <c r="G42" s="19"/>
    </row>
    <row r="43" spans="1:7" ht="15.75" customHeight="1" x14ac:dyDescent="0.2">
      <c r="A43" s="56"/>
      <c r="B43" s="56"/>
      <c r="C43" s="56"/>
      <c r="D43" s="17" t="s">
        <v>56</v>
      </c>
      <c r="E43" s="56"/>
      <c r="F43" s="56"/>
      <c r="G43" s="19"/>
    </row>
    <row r="44" spans="1:7" ht="15.75" customHeight="1" x14ac:dyDescent="0.2">
      <c r="A44" s="55" t="s">
        <v>57</v>
      </c>
      <c r="B44" s="57">
        <v>44593</v>
      </c>
      <c r="C44" s="17" t="s">
        <v>19</v>
      </c>
      <c r="D44" s="17" t="s">
        <v>20</v>
      </c>
      <c r="E44" s="59">
        <v>4620</v>
      </c>
      <c r="F44" s="59">
        <v>4152</v>
      </c>
      <c r="G44" s="19"/>
    </row>
    <row r="45" spans="1:7" ht="15.75" customHeight="1" x14ac:dyDescent="0.2">
      <c r="A45" s="56"/>
      <c r="B45" s="56"/>
      <c r="C45" s="55" t="s">
        <v>21</v>
      </c>
      <c r="D45" s="17" t="s">
        <v>58</v>
      </c>
      <c r="E45" s="56"/>
      <c r="F45" s="56"/>
      <c r="G45" s="19"/>
    </row>
    <row r="46" spans="1:7" ht="15.75" customHeight="1" x14ac:dyDescent="0.2">
      <c r="A46" s="56"/>
      <c r="B46" s="56"/>
      <c r="C46" s="56"/>
      <c r="D46" s="17" t="s">
        <v>59</v>
      </c>
      <c r="E46" s="56"/>
      <c r="F46" s="56"/>
      <c r="G46" s="19"/>
    </row>
    <row r="47" spans="1:7" ht="15.75" customHeight="1" x14ac:dyDescent="0.2">
      <c r="A47" s="56"/>
      <c r="B47" s="56"/>
      <c r="C47" s="56"/>
      <c r="D47" s="17" t="s">
        <v>60</v>
      </c>
      <c r="E47" s="56"/>
      <c r="F47" s="56"/>
      <c r="G47" s="19"/>
    </row>
    <row r="48" spans="1:7" ht="15.75" customHeight="1" x14ac:dyDescent="0.2">
      <c r="A48" s="56"/>
      <c r="B48" s="56"/>
      <c r="C48" s="56"/>
      <c r="D48" s="17" t="s">
        <v>61</v>
      </c>
      <c r="E48" s="56"/>
      <c r="F48" s="56"/>
      <c r="G48" s="19"/>
    </row>
    <row r="49" spans="1:7" ht="15.75" customHeight="1" x14ac:dyDescent="0.2">
      <c r="A49" s="56"/>
      <c r="B49" s="56"/>
      <c r="C49" s="56"/>
      <c r="D49" s="17" t="s">
        <v>62</v>
      </c>
      <c r="E49" s="56"/>
      <c r="F49" s="56"/>
      <c r="G49" s="19"/>
    </row>
    <row r="50" spans="1:7" ht="15.75" customHeight="1" x14ac:dyDescent="0.2">
      <c r="A50" s="56"/>
      <c r="B50" s="56"/>
      <c r="C50" s="56"/>
      <c r="D50" s="17" t="s">
        <v>63</v>
      </c>
      <c r="E50" s="56"/>
      <c r="F50" s="56"/>
      <c r="G50" s="19"/>
    </row>
    <row r="51" spans="1:7" ht="15.75" customHeight="1" x14ac:dyDescent="0.2">
      <c r="A51" s="56"/>
      <c r="B51" s="56"/>
      <c r="C51" s="56"/>
      <c r="D51" s="17" t="s">
        <v>64</v>
      </c>
      <c r="E51" s="56"/>
      <c r="F51" s="56"/>
      <c r="G51" s="19"/>
    </row>
    <row r="52" spans="1:7" ht="15.75" customHeight="1" x14ac:dyDescent="0.2">
      <c r="A52" s="56"/>
      <c r="B52" s="56"/>
      <c r="C52" s="56"/>
      <c r="D52" s="17" t="s">
        <v>65</v>
      </c>
      <c r="E52" s="56"/>
      <c r="F52" s="56"/>
      <c r="G52" s="19"/>
    </row>
    <row r="53" spans="1:7" ht="15.75" customHeight="1" x14ac:dyDescent="0.2">
      <c r="A53" s="56"/>
      <c r="B53" s="56"/>
      <c r="C53" s="56"/>
      <c r="D53" s="17" t="s">
        <v>66</v>
      </c>
      <c r="E53" s="56"/>
      <c r="F53" s="56"/>
      <c r="G53" s="19"/>
    </row>
    <row r="54" spans="1:7" ht="14" x14ac:dyDescent="0.2">
      <c r="A54" s="55" t="s">
        <v>67</v>
      </c>
      <c r="B54" s="57">
        <v>44593</v>
      </c>
      <c r="C54" s="17" t="s">
        <v>19</v>
      </c>
      <c r="D54" s="17" t="s">
        <v>20</v>
      </c>
      <c r="E54" s="55">
        <v>796</v>
      </c>
      <c r="F54" s="55">
        <v>637</v>
      </c>
      <c r="G54" s="17"/>
    </row>
    <row r="55" spans="1:7" ht="14" x14ac:dyDescent="0.2">
      <c r="A55" s="56"/>
      <c r="B55" s="56"/>
      <c r="C55" s="55" t="s">
        <v>21</v>
      </c>
      <c r="D55" s="17" t="s">
        <v>68</v>
      </c>
      <c r="E55" s="56"/>
      <c r="F55" s="56"/>
      <c r="G55" s="17"/>
    </row>
    <row r="56" spans="1:7" ht="14" x14ac:dyDescent="0.2">
      <c r="A56" s="56"/>
      <c r="B56" s="56"/>
      <c r="C56" s="56"/>
      <c r="D56" s="17" t="s">
        <v>69</v>
      </c>
      <c r="E56" s="56"/>
      <c r="F56" s="56"/>
      <c r="G56" s="17"/>
    </row>
    <row r="57" spans="1:7" ht="14" x14ac:dyDescent="0.2">
      <c r="A57" s="55" t="s">
        <v>70</v>
      </c>
      <c r="B57" s="57">
        <v>44594</v>
      </c>
      <c r="C57" s="17" t="s">
        <v>19</v>
      </c>
      <c r="D57" s="17" t="s">
        <v>20</v>
      </c>
      <c r="E57" s="55">
        <v>58</v>
      </c>
      <c r="F57" s="55">
        <v>58</v>
      </c>
      <c r="G57" s="17"/>
    </row>
    <row r="58" spans="1:7" ht="14" x14ac:dyDescent="0.2">
      <c r="A58" s="56"/>
      <c r="B58" s="56"/>
      <c r="C58" s="17" t="s">
        <v>21</v>
      </c>
      <c r="D58" s="17" t="s">
        <v>71</v>
      </c>
      <c r="E58" s="56"/>
      <c r="F58" s="56"/>
      <c r="G58" s="17"/>
    </row>
    <row r="59" spans="1:7" ht="14" x14ac:dyDescent="0.2">
      <c r="A59" s="58" t="s">
        <v>72</v>
      </c>
      <c r="B59" s="56"/>
      <c r="C59" s="56"/>
      <c r="D59" s="56"/>
      <c r="E59" s="19">
        <f>SUM(E4:E56)</f>
        <v>111914</v>
      </c>
      <c r="F59" s="20">
        <f>SUM(F4:F58)</f>
        <v>95350</v>
      </c>
      <c r="G59" s="20">
        <v>72501</v>
      </c>
    </row>
  </sheetData>
  <mergeCells count="45">
    <mergeCell ref="A7:A22"/>
    <mergeCell ref="B7:B22"/>
    <mergeCell ref="E7:E22"/>
    <mergeCell ref="F7:F22"/>
    <mergeCell ref="C8:C22"/>
    <mergeCell ref="A5:A6"/>
    <mergeCell ref="B5:B6"/>
    <mergeCell ref="C5:C6"/>
    <mergeCell ref="E5:E6"/>
    <mergeCell ref="F5:F6"/>
    <mergeCell ref="A31:A33"/>
    <mergeCell ref="B31:B33"/>
    <mergeCell ref="E31:E33"/>
    <mergeCell ref="F31:F33"/>
    <mergeCell ref="C32:C33"/>
    <mergeCell ref="A23:A30"/>
    <mergeCell ref="B23:B30"/>
    <mergeCell ref="E23:E30"/>
    <mergeCell ref="F23:F30"/>
    <mergeCell ref="C24:C30"/>
    <mergeCell ref="A37:A43"/>
    <mergeCell ref="B37:B43"/>
    <mergeCell ref="E37:E43"/>
    <mergeCell ref="F37:F43"/>
    <mergeCell ref="C38:C43"/>
    <mergeCell ref="A34:A36"/>
    <mergeCell ref="B34:B36"/>
    <mergeCell ref="E34:E36"/>
    <mergeCell ref="F34:F36"/>
    <mergeCell ref="C35:C36"/>
    <mergeCell ref="A54:A56"/>
    <mergeCell ref="B54:B56"/>
    <mergeCell ref="E54:E56"/>
    <mergeCell ref="F54:F56"/>
    <mergeCell ref="C55:C56"/>
    <mergeCell ref="A44:A53"/>
    <mergeCell ref="B44:B53"/>
    <mergeCell ref="E44:E53"/>
    <mergeCell ref="F44:F53"/>
    <mergeCell ref="C45:C53"/>
    <mergeCell ref="A57:A58"/>
    <mergeCell ref="B57:B58"/>
    <mergeCell ref="E57:E58"/>
    <mergeCell ref="F57:F58"/>
    <mergeCell ref="A59:D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F2F6F-D8F7-40A9-8B90-1693E8CE9DF5}">
  <dimension ref="A1:G31"/>
  <sheetViews>
    <sheetView workbookViewId="0">
      <selection activeCell="J26" sqref="J26"/>
    </sheetView>
  </sheetViews>
  <sheetFormatPr baseColWidth="10" defaultColWidth="8.83203125" defaultRowHeight="16" x14ac:dyDescent="0.2"/>
  <cols>
    <col min="1" max="1" width="37" customWidth="1"/>
    <col min="2" max="2" width="15.83203125" customWidth="1"/>
    <col min="3" max="3" width="16.1640625" customWidth="1"/>
    <col min="4" max="4" width="23.33203125" customWidth="1"/>
  </cols>
  <sheetData>
    <row r="1" spans="1:7" x14ac:dyDescent="0.2">
      <c r="A1" t="s">
        <v>279</v>
      </c>
      <c r="B1" t="s">
        <v>280</v>
      </c>
      <c r="C1" t="s">
        <v>281</v>
      </c>
      <c r="D1" t="s">
        <v>282</v>
      </c>
    </row>
    <row r="2" spans="1:7" ht="17" x14ac:dyDescent="0.25">
      <c r="A2" t="s">
        <v>283</v>
      </c>
      <c r="B2" s="21" t="s">
        <v>284</v>
      </c>
      <c r="C2" s="21" t="s">
        <v>285</v>
      </c>
      <c r="D2" s="21">
        <v>99.844999999999999</v>
      </c>
    </row>
    <row r="3" spans="1:7" ht="17" x14ac:dyDescent="0.25">
      <c r="A3" t="s">
        <v>286</v>
      </c>
      <c r="B3" s="21" t="s">
        <v>287</v>
      </c>
      <c r="C3" s="21" t="s">
        <v>288</v>
      </c>
      <c r="D3" s="21">
        <v>100</v>
      </c>
      <c r="G3" t="s">
        <v>289</v>
      </c>
    </row>
    <row r="4" spans="1:7" ht="17" x14ac:dyDescent="0.25">
      <c r="B4" s="21" t="s">
        <v>287</v>
      </c>
      <c r="C4" s="21" t="s">
        <v>290</v>
      </c>
      <c r="D4" s="21">
        <v>99.578999999999994</v>
      </c>
    </row>
    <row r="5" spans="1:7" ht="17" x14ac:dyDescent="0.25">
      <c r="B5" s="21" t="s">
        <v>290</v>
      </c>
      <c r="C5" s="21" t="s">
        <v>288</v>
      </c>
      <c r="D5" s="21">
        <v>99.578999999999994</v>
      </c>
    </row>
    <row r="6" spans="1:7" ht="17" x14ac:dyDescent="0.25">
      <c r="A6" t="s">
        <v>291</v>
      </c>
      <c r="B6" s="21" t="s">
        <v>292</v>
      </c>
      <c r="C6" s="21" t="s">
        <v>293</v>
      </c>
      <c r="D6" s="21">
        <v>99.950999999999993</v>
      </c>
    </row>
    <row r="7" spans="1:7" ht="17" x14ac:dyDescent="0.25">
      <c r="B7" s="21" t="s">
        <v>292</v>
      </c>
      <c r="C7" s="21" t="s">
        <v>294</v>
      </c>
      <c r="D7" s="21">
        <v>92.688999999999993</v>
      </c>
    </row>
    <row r="8" spans="1:7" ht="17" x14ac:dyDescent="0.25">
      <c r="B8" s="21" t="s">
        <v>293</v>
      </c>
      <c r="C8" s="21" t="s">
        <v>294</v>
      </c>
      <c r="D8" s="21">
        <v>92.738</v>
      </c>
    </row>
    <row r="9" spans="1:7" ht="17" x14ac:dyDescent="0.25">
      <c r="A9" t="s">
        <v>295</v>
      </c>
      <c r="B9" s="21" t="s">
        <v>296</v>
      </c>
      <c r="C9" s="21" t="s">
        <v>297</v>
      </c>
      <c r="D9" s="21">
        <v>99.91</v>
      </c>
    </row>
    <row r="10" spans="1:7" ht="17" x14ac:dyDescent="0.25">
      <c r="A10" t="s">
        <v>298</v>
      </c>
      <c r="B10" s="21" t="s">
        <v>299</v>
      </c>
      <c r="C10" s="21" t="s">
        <v>300</v>
      </c>
      <c r="D10" s="21">
        <v>98.506</v>
      </c>
    </row>
    <row r="11" spans="1:7" ht="17" x14ac:dyDescent="0.25">
      <c r="B11" s="21" t="s">
        <v>299</v>
      </c>
      <c r="C11" s="21" t="s">
        <v>301</v>
      </c>
      <c r="D11" s="21">
        <v>97.63</v>
      </c>
    </row>
    <row r="12" spans="1:7" ht="17" x14ac:dyDescent="0.25">
      <c r="B12" s="21" t="s">
        <v>299</v>
      </c>
      <c r="C12" s="21" t="s">
        <v>302</v>
      </c>
      <c r="D12" s="21">
        <v>92.272000000000006</v>
      </c>
    </row>
    <row r="13" spans="1:7" ht="17" x14ac:dyDescent="0.25">
      <c r="B13" s="21" t="s">
        <v>299</v>
      </c>
      <c r="C13" s="21" t="s">
        <v>303</v>
      </c>
      <c r="D13" s="21">
        <v>91.841999999999999</v>
      </c>
    </row>
    <row r="14" spans="1:7" ht="17" x14ac:dyDescent="0.25">
      <c r="B14" s="21" t="s">
        <v>299</v>
      </c>
      <c r="C14" s="21" t="s">
        <v>304</v>
      </c>
      <c r="D14" s="21">
        <v>91.087000000000003</v>
      </c>
    </row>
    <row r="15" spans="1:7" ht="17" x14ac:dyDescent="0.25">
      <c r="B15" s="21" t="s">
        <v>299</v>
      </c>
      <c r="C15" s="21" t="s">
        <v>305</v>
      </c>
      <c r="D15" s="21">
        <v>90.828999999999994</v>
      </c>
    </row>
    <row r="16" spans="1:7" ht="17" x14ac:dyDescent="0.25">
      <c r="B16" s="21" t="s">
        <v>300</v>
      </c>
      <c r="C16" s="21" t="s">
        <v>301</v>
      </c>
      <c r="D16" s="21">
        <v>96.856999999999999</v>
      </c>
    </row>
    <row r="17" spans="1:4" ht="17" x14ac:dyDescent="0.25">
      <c r="B17" s="21" t="s">
        <v>300</v>
      </c>
      <c r="C17" s="21" t="s">
        <v>302</v>
      </c>
      <c r="D17" s="21">
        <v>92.022999999999996</v>
      </c>
    </row>
    <row r="18" spans="1:4" ht="17" x14ac:dyDescent="0.25">
      <c r="B18" s="21" t="s">
        <v>300</v>
      </c>
      <c r="C18" s="21" t="s">
        <v>303</v>
      </c>
      <c r="D18" s="21">
        <v>91.578999999999994</v>
      </c>
    </row>
    <row r="19" spans="1:4" ht="17" x14ac:dyDescent="0.25">
      <c r="B19" s="21" t="s">
        <v>300</v>
      </c>
      <c r="C19" s="21" t="s">
        <v>304</v>
      </c>
      <c r="D19" s="21">
        <v>90.828999999999994</v>
      </c>
    </row>
    <row r="20" spans="1:4" ht="17" x14ac:dyDescent="0.25">
      <c r="B20" s="21" t="s">
        <v>300</v>
      </c>
      <c r="C20" s="21" t="s">
        <v>305</v>
      </c>
      <c r="D20" s="21">
        <v>90.478999999999999</v>
      </c>
    </row>
    <row r="21" spans="1:4" ht="17" x14ac:dyDescent="0.25">
      <c r="B21" s="21" t="s">
        <v>301</v>
      </c>
      <c r="C21" s="21" t="s">
        <v>302</v>
      </c>
      <c r="D21" s="21">
        <v>91.757000000000005</v>
      </c>
    </row>
    <row r="22" spans="1:4" ht="17" x14ac:dyDescent="0.25">
      <c r="B22" s="21" t="s">
        <v>301</v>
      </c>
      <c r="C22" s="21" t="s">
        <v>303</v>
      </c>
      <c r="D22" s="21">
        <v>91.477999999999994</v>
      </c>
    </row>
    <row r="23" spans="1:4" ht="17" x14ac:dyDescent="0.25">
      <c r="B23" s="21" t="s">
        <v>301</v>
      </c>
      <c r="C23" s="21" t="s">
        <v>304</v>
      </c>
      <c r="D23" s="21">
        <v>90.674999999999997</v>
      </c>
    </row>
    <row r="24" spans="1:4" ht="17" x14ac:dyDescent="0.25">
      <c r="B24" s="21" t="s">
        <v>301</v>
      </c>
      <c r="C24" s="21" t="s">
        <v>305</v>
      </c>
      <c r="D24" s="21">
        <v>90.366</v>
      </c>
    </row>
    <row r="25" spans="1:4" ht="17" x14ac:dyDescent="0.25">
      <c r="B25" s="21" t="s">
        <v>302</v>
      </c>
      <c r="C25" s="21" t="s">
        <v>303</v>
      </c>
      <c r="D25" s="21">
        <v>94.632000000000005</v>
      </c>
    </row>
    <row r="26" spans="1:4" ht="17" x14ac:dyDescent="0.25">
      <c r="B26" s="21" t="s">
        <v>302</v>
      </c>
      <c r="C26" s="21" t="s">
        <v>304</v>
      </c>
      <c r="D26" s="21">
        <v>92.89</v>
      </c>
    </row>
    <row r="27" spans="1:4" ht="17" x14ac:dyDescent="0.25">
      <c r="B27" s="21" t="s">
        <v>302</v>
      </c>
      <c r="C27" s="21" t="s">
        <v>305</v>
      </c>
      <c r="D27" s="21">
        <v>92.588999999999999</v>
      </c>
    </row>
    <row r="28" spans="1:4" ht="17" x14ac:dyDescent="0.25">
      <c r="B28" s="21" t="s">
        <v>303</v>
      </c>
      <c r="C28" s="21" t="s">
        <v>304</v>
      </c>
      <c r="D28" s="21">
        <v>92.841999999999999</v>
      </c>
    </row>
    <row r="29" spans="1:4" ht="17" x14ac:dyDescent="0.25">
      <c r="B29" s="21" t="s">
        <v>303</v>
      </c>
      <c r="C29" s="21" t="s">
        <v>305</v>
      </c>
      <c r="D29" s="21">
        <v>92.421000000000006</v>
      </c>
    </row>
    <row r="30" spans="1:4" ht="17" x14ac:dyDescent="0.25">
      <c r="B30" s="21" t="s">
        <v>304</v>
      </c>
      <c r="C30" s="21" t="s">
        <v>305</v>
      </c>
      <c r="D30" s="21">
        <v>98.2</v>
      </c>
    </row>
    <row r="31" spans="1:4" x14ac:dyDescent="0.2">
      <c r="A31" t="s">
        <v>306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EE2FB-F52D-C246-B6FB-0576A62D6478}">
  <dimension ref="A1:F72"/>
  <sheetViews>
    <sheetView topLeftCell="C1" workbookViewId="0">
      <selection activeCell="E4" sqref="E4"/>
    </sheetView>
  </sheetViews>
  <sheetFormatPr baseColWidth="10" defaultColWidth="11" defaultRowHeight="41" customHeight="1" x14ac:dyDescent="0.2"/>
  <cols>
    <col min="1" max="1" width="25.33203125" style="1" customWidth="1"/>
    <col min="2" max="2" width="26.33203125" style="1" customWidth="1"/>
    <col min="3" max="3" width="70.1640625" style="1" customWidth="1"/>
    <col min="4" max="4" width="30" style="1" customWidth="1"/>
    <col min="5" max="5" width="28.5" style="1" customWidth="1"/>
    <col min="6" max="6" width="53.5" style="1" customWidth="1"/>
  </cols>
  <sheetData>
    <row r="1" spans="1:6" ht="41" customHeight="1" x14ac:dyDescent="0.2">
      <c r="A1" s="10" t="s">
        <v>73</v>
      </c>
      <c r="B1" s="10" t="s">
        <v>74</v>
      </c>
      <c r="C1" s="10" t="s">
        <v>75</v>
      </c>
      <c r="D1" s="9" t="s">
        <v>76</v>
      </c>
      <c r="E1" s="10" t="s">
        <v>77</v>
      </c>
      <c r="F1" s="9" t="s">
        <v>78</v>
      </c>
    </row>
    <row r="2" spans="1:6" ht="41" customHeight="1" x14ac:dyDescent="0.2">
      <c r="A2" s="3" t="s">
        <v>79</v>
      </c>
      <c r="B2" s="3">
        <v>915</v>
      </c>
      <c r="C2" s="2" t="s">
        <v>80</v>
      </c>
      <c r="D2" s="6" t="s">
        <v>81</v>
      </c>
      <c r="E2" s="3" t="s">
        <v>82</v>
      </c>
      <c r="F2" s="6" t="s">
        <v>83</v>
      </c>
    </row>
    <row r="3" spans="1:6" ht="41" customHeight="1" x14ac:dyDescent="0.2">
      <c r="A3" s="3" t="s">
        <v>84</v>
      </c>
      <c r="B3" s="3">
        <v>737</v>
      </c>
      <c r="C3" s="2" t="s">
        <v>85</v>
      </c>
      <c r="D3" s="4" t="s">
        <v>86</v>
      </c>
      <c r="E3" s="2" t="s">
        <v>87</v>
      </c>
      <c r="F3" s="2" t="s">
        <v>88</v>
      </c>
    </row>
    <row r="4" spans="1:6" ht="41" customHeight="1" x14ac:dyDescent="0.2">
      <c r="A4" s="3" t="s">
        <v>89</v>
      </c>
      <c r="B4" s="3">
        <v>400</v>
      </c>
      <c r="C4" s="4" t="s">
        <v>90</v>
      </c>
      <c r="D4" s="3" t="s">
        <v>86</v>
      </c>
      <c r="E4" s="60" t="s">
        <v>392</v>
      </c>
      <c r="F4" s="2" t="s">
        <v>83</v>
      </c>
    </row>
    <row r="5" spans="1:6" ht="41" customHeight="1" x14ac:dyDescent="0.2">
      <c r="A5" s="3" t="s">
        <v>91</v>
      </c>
      <c r="B5" s="3">
        <v>385</v>
      </c>
      <c r="C5" s="2" t="s">
        <v>92</v>
      </c>
      <c r="D5" s="3" t="s">
        <v>86</v>
      </c>
      <c r="E5" s="2" t="s">
        <v>82</v>
      </c>
      <c r="F5" s="2" t="s">
        <v>93</v>
      </c>
    </row>
    <row r="6" spans="1:6" ht="41" customHeight="1" x14ac:dyDescent="0.2">
      <c r="A6" s="3" t="s">
        <v>94</v>
      </c>
      <c r="B6" s="3">
        <v>370</v>
      </c>
      <c r="C6" s="4" t="s">
        <v>95</v>
      </c>
      <c r="D6" s="6" t="s">
        <v>81</v>
      </c>
      <c r="E6" s="2" t="s">
        <v>96</v>
      </c>
      <c r="F6" s="4" t="s">
        <v>97</v>
      </c>
    </row>
    <row r="7" spans="1:6" ht="41" customHeight="1" x14ac:dyDescent="0.2">
      <c r="A7" s="3" t="s">
        <v>98</v>
      </c>
      <c r="B7" s="3">
        <v>292</v>
      </c>
      <c r="C7" s="4" t="s">
        <v>99</v>
      </c>
      <c r="D7" s="2" t="s">
        <v>81</v>
      </c>
      <c r="E7" s="2" t="s">
        <v>100</v>
      </c>
      <c r="F7" s="4" t="s">
        <v>101</v>
      </c>
    </row>
    <row r="8" spans="1:6" ht="41" customHeight="1" x14ac:dyDescent="0.2">
      <c r="A8" s="3" t="s">
        <v>102</v>
      </c>
      <c r="B8" s="3">
        <v>249</v>
      </c>
      <c r="C8" s="4" t="s">
        <v>103</v>
      </c>
      <c r="D8" s="3" t="s">
        <v>81</v>
      </c>
      <c r="E8" s="3" t="s">
        <v>96</v>
      </c>
      <c r="F8" s="2" t="s">
        <v>101</v>
      </c>
    </row>
    <row r="9" spans="1:6" ht="41" customHeight="1" x14ac:dyDescent="0.2">
      <c r="A9" s="3" t="s">
        <v>104</v>
      </c>
      <c r="B9" s="3">
        <v>249</v>
      </c>
      <c r="C9" s="2" t="s">
        <v>105</v>
      </c>
      <c r="D9" s="6" t="s">
        <v>81</v>
      </c>
      <c r="E9" s="3" t="s">
        <v>106</v>
      </c>
      <c r="F9" s="6" t="s">
        <v>107</v>
      </c>
    </row>
    <row r="10" spans="1:6" ht="41" customHeight="1" x14ac:dyDescent="0.2">
      <c r="A10" s="3" t="s">
        <v>108</v>
      </c>
      <c r="B10" s="3">
        <v>233</v>
      </c>
      <c r="C10" s="2" t="s">
        <v>109</v>
      </c>
      <c r="D10" s="6" t="s">
        <v>81</v>
      </c>
      <c r="E10" s="3" t="s">
        <v>106</v>
      </c>
      <c r="F10" s="4" t="s">
        <v>110</v>
      </c>
    </row>
    <row r="11" spans="1:6" ht="41" customHeight="1" x14ac:dyDescent="0.2">
      <c r="A11" s="3" t="s">
        <v>111</v>
      </c>
      <c r="B11" s="3">
        <v>232</v>
      </c>
      <c r="C11" s="6" t="s">
        <v>112</v>
      </c>
      <c r="D11" s="3" t="s">
        <v>81</v>
      </c>
      <c r="E11" s="3" t="s">
        <v>96</v>
      </c>
      <c r="F11" s="6" t="s">
        <v>113</v>
      </c>
    </row>
    <row r="12" spans="1:6" ht="41" customHeight="1" x14ac:dyDescent="0.2">
      <c r="A12" s="3" t="s">
        <v>114</v>
      </c>
      <c r="B12" s="3">
        <v>168</v>
      </c>
      <c r="C12" s="2" t="s">
        <v>115</v>
      </c>
      <c r="D12" s="3" t="s">
        <v>81</v>
      </c>
      <c r="E12" s="3" t="s">
        <v>116</v>
      </c>
      <c r="F12" s="3" t="s">
        <v>83</v>
      </c>
    </row>
    <row r="13" spans="1:6" ht="41" customHeight="1" x14ac:dyDescent="0.2">
      <c r="A13" s="3" t="s">
        <v>117</v>
      </c>
      <c r="B13" s="3">
        <v>168</v>
      </c>
      <c r="C13" s="2" t="s">
        <v>118</v>
      </c>
      <c r="D13" s="3" t="s">
        <v>81</v>
      </c>
      <c r="E13" s="3" t="s">
        <v>96</v>
      </c>
      <c r="F13" s="3" t="s">
        <v>113</v>
      </c>
    </row>
    <row r="14" spans="1:6" ht="41" customHeight="1" x14ac:dyDescent="0.2">
      <c r="A14" s="3" t="s">
        <v>119</v>
      </c>
      <c r="B14" s="3">
        <v>156</v>
      </c>
      <c r="C14" s="2" t="s">
        <v>120</v>
      </c>
      <c r="D14" s="3" t="s">
        <v>81</v>
      </c>
      <c r="E14" s="3" t="s">
        <v>121</v>
      </c>
      <c r="F14" s="4" t="s">
        <v>122</v>
      </c>
    </row>
    <row r="15" spans="1:6" ht="41" customHeight="1" x14ac:dyDescent="0.2">
      <c r="A15" s="3" t="s">
        <v>123</v>
      </c>
      <c r="B15" s="3">
        <v>140</v>
      </c>
      <c r="C15" s="4" t="s">
        <v>124</v>
      </c>
      <c r="D15" s="3" t="s">
        <v>81</v>
      </c>
      <c r="E15" s="3" t="s">
        <v>96</v>
      </c>
      <c r="F15" s="4" t="s">
        <v>125</v>
      </c>
    </row>
    <row r="16" spans="1:6" ht="41" customHeight="1" x14ac:dyDescent="0.2">
      <c r="A16" s="3" t="s">
        <v>126</v>
      </c>
      <c r="B16" s="3">
        <v>128</v>
      </c>
      <c r="C16" s="4" t="s">
        <v>127</v>
      </c>
      <c r="D16" s="3" t="s">
        <v>81</v>
      </c>
      <c r="E16" s="3" t="s">
        <v>96</v>
      </c>
      <c r="F16" s="4" t="s">
        <v>122</v>
      </c>
    </row>
    <row r="17" spans="1:6" ht="41" customHeight="1" x14ac:dyDescent="0.2">
      <c r="A17" s="3" t="s">
        <v>128</v>
      </c>
      <c r="B17" s="3">
        <v>111</v>
      </c>
      <c r="C17" s="2" t="s">
        <v>129</v>
      </c>
      <c r="D17" s="3" t="s">
        <v>81</v>
      </c>
      <c r="E17" s="2" t="s">
        <v>82</v>
      </c>
      <c r="F17" s="2" t="s">
        <v>83</v>
      </c>
    </row>
    <row r="18" spans="1:6" ht="41" customHeight="1" x14ac:dyDescent="0.2">
      <c r="A18" s="3" t="s">
        <v>130</v>
      </c>
      <c r="B18" s="3">
        <v>110</v>
      </c>
      <c r="C18" s="4" t="s">
        <v>131</v>
      </c>
      <c r="D18" s="2" t="s">
        <v>81</v>
      </c>
      <c r="E18" s="2" t="s">
        <v>82</v>
      </c>
      <c r="F18" s="4" t="s">
        <v>122</v>
      </c>
    </row>
    <row r="19" spans="1:6" ht="41" customHeight="1" x14ac:dyDescent="0.2">
      <c r="A19" s="3" t="s">
        <v>132</v>
      </c>
      <c r="B19" s="3">
        <v>97</v>
      </c>
      <c r="C19" s="4" t="s">
        <v>133</v>
      </c>
      <c r="D19" s="2" t="s">
        <v>81</v>
      </c>
      <c r="E19" s="2" t="s">
        <v>96</v>
      </c>
      <c r="F19" s="4" t="s">
        <v>134</v>
      </c>
    </row>
    <row r="20" spans="1:6" ht="41" customHeight="1" x14ac:dyDescent="0.2">
      <c r="A20" s="3" t="s">
        <v>135</v>
      </c>
      <c r="B20" s="3">
        <v>97</v>
      </c>
      <c r="C20" s="3" t="s">
        <v>136</v>
      </c>
      <c r="D20" s="3" t="s">
        <v>81</v>
      </c>
      <c r="E20" s="3" t="s">
        <v>96</v>
      </c>
      <c r="F20" s="4" t="s">
        <v>137</v>
      </c>
    </row>
    <row r="21" spans="1:6" ht="41" customHeight="1" x14ac:dyDescent="0.2">
      <c r="A21" s="3" t="s">
        <v>138</v>
      </c>
      <c r="B21" s="3">
        <v>92</v>
      </c>
      <c r="C21" s="2" t="s">
        <v>139</v>
      </c>
      <c r="D21" s="3" t="s">
        <v>81</v>
      </c>
      <c r="E21" s="2" t="s">
        <v>140</v>
      </c>
      <c r="F21" s="2" t="s">
        <v>101</v>
      </c>
    </row>
    <row r="22" spans="1:6" ht="41" customHeight="1" x14ac:dyDescent="0.2">
      <c r="A22" s="3" t="s">
        <v>141</v>
      </c>
      <c r="B22" s="3">
        <v>69</v>
      </c>
      <c r="C22" s="2" t="s">
        <v>142</v>
      </c>
      <c r="D22" s="2" t="s">
        <v>81</v>
      </c>
      <c r="E22" s="2" t="s">
        <v>100</v>
      </c>
      <c r="F22" s="2" t="s">
        <v>83</v>
      </c>
    </row>
    <row r="23" spans="1:6" ht="41" customHeight="1" x14ac:dyDescent="0.2">
      <c r="A23" s="3" t="s">
        <v>143</v>
      </c>
      <c r="B23" s="3">
        <v>63</v>
      </c>
      <c r="C23" s="4" t="s">
        <v>144</v>
      </c>
      <c r="D23" s="3" t="s">
        <v>81</v>
      </c>
      <c r="E23" s="3" t="s">
        <v>82</v>
      </c>
      <c r="F23" s="3" t="s">
        <v>83</v>
      </c>
    </row>
    <row r="24" spans="1:6" ht="41" customHeight="1" x14ac:dyDescent="0.2">
      <c r="A24" s="5" t="s">
        <v>145</v>
      </c>
      <c r="B24" s="3">
        <v>59</v>
      </c>
      <c r="C24" s="2" t="s">
        <v>146</v>
      </c>
      <c r="D24" s="3" t="s">
        <v>81</v>
      </c>
      <c r="E24" s="3" t="s">
        <v>140</v>
      </c>
      <c r="F24" s="4" t="s">
        <v>147</v>
      </c>
    </row>
    <row r="25" spans="1:6" ht="41" customHeight="1" x14ac:dyDescent="0.2">
      <c r="A25" s="3" t="s">
        <v>148</v>
      </c>
      <c r="B25" s="3">
        <v>58</v>
      </c>
      <c r="C25" s="2" t="s">
        <v>149</v>
      </c>
      <c r="D25" s="3" t="s">
        <v>150</v>
      </c>
      <c r="E25" s="2" t="s">
        <v>151</v>
      </c>
      <c r="F25" s="2" t="s">
        <v>83</v>
      </c>
    </row>
    <row r="26" spans="1:6" ht="41" customHeight="1" x14ac:dyDescent="0.2">
      <c r="A26" s="3" t="s">
        <v>152</v>
      </c>
      <c r="B26" s="3">
        <v>55</v>
      </c>
      <c r="C26" s="6" t="s">
        <v>153</v>
      </c>
      <c r="D26" s="3" t="s">
        <v>81</v>
      </c>
      <c r="E26" s="3" t="s">
        <v>154</v>
      </c>
      <c r="F26" s="2" t="s">
        <v>155</v>
      </c>
    </row>
    <row r="27" spans="1:6" ht="41" customHeight="1" x14ac:dyDescent="0.2">
      <c r="A27" s="6" t="s">
        <v>156</v>
      </c>
      <c r="B27" s="3">
        <v>52</v>
      </c>
      <c r="C27" s="4" t="s">
        <v>157</v>
      </c>
      <c r="D27" s="3" t="s">
        <v>81</v>
      </c>
      <c r="E27" s="2" t="s">
        <v>158</v>
      </c>
      <c r="F27" s="4" t="s">
        <v>159</v>
      </c>
    </row>
    <row r="28" spans="1:6" ht="41" customHeight="1" x14ac:dyDescent="0.2">
      <c r="A28" s="3" t="s">
        <v>160</v>
      </c>
      <c r="B28" s="3">
        <v>51</v>
      </c>
      <c r="C28" s="4" t="s">
        <v>161</v>
      </c>
      <c r="D28" s="3" t="s">
        <v>81</v>
      </c>
      <c r="E28" s="3" t="s">
        <v>82</v>
      </c>
      <c r="F28" s="4" t="s">
        <v>162</v>
      </c>
    </row>
    <row r="29" spans="1:6" ht="41" customHeight="1" x14ac:dyDescent="0.2">
      <c r="A29" s="3" t="s">
        <v>163</v>
      </c>
      <c r="B29" s="3">
        <v>50</v>
      </c>
      <c r="C29" s="2" t="s">
        <v>164</v>
      </c>
      <c r="D29" s="3" t="s">
        <v>86</v>
      </c>
      <c r="E29" s="2" t="s">
        <v>82</v>
      </c>
      <c r="F29" s="2" t="s">
        <v>165</v>
      </c>
    </row>
    <row r="30" spans="1:6" ht="41" customHeight="1" x14ac:dyDescent="0.2">
      <c r="A30" s="3" t="s">
        <v>166</v>
      </c>
      <c r="B30" s="3">
        <v>49</v>
      </c>
      <c r="C30" s="4" t="s">
        <v>167</v>
      </c>
      <c r="D30" s="3" t="s">
        <v>150</v>
      </c>
      <c r="E30" s="3" t="s">
        <v>168</v>
      </c>
      <c r="F30" s="4" t="s">
        <v>169</v>
      </c>
    </row>
    <row r="31" spans="1:6" ht="41" customHeight="1" x14ac:dyDescent="0.2">
      <c r="A31" s="3" t="s">
        <v>170</v>
      </c>
      <c r="B31" s="3">
        <v>38</v>
      </c>
      <c r="C31" s="2" t="s">
        <v>171</v>
      </c>
      <c r="D31" s="3" t="s">
        <v>81</v>
      </c>
      <c r="E31" s="2" t="s">
        <v>172</v>
      </c>
      <c r="F31" s="2" t="s">
        <v>83</v>
      </c>
    </row>
    <row r="32" spans="1:6" ht="41" customHeight="1" x14ac:dyDescent="0.2">
      <c r="A32" s="3" t="s">
        <v>173</v>
      </c>
      <c r="B32" s="3">
        <v>37</v>
      </c>
      <c r="C32" s="2" t="s">
        <v>174</v>
      </c>
      <c r="D32" s="3" t="s">
        <v>81</v>
      </c>
      <c r="E32" s="2" t="s">
        <v>82</v>
      </c>
      <c r="F32" s="2" t="s">
        <v>83</v>
      </c>
    </row>
    <row r="33" spans="1:6" ht="41" customHeight="1" x14ac:dyDescent="0.2">
      <c r="A33" s="3" t="s">
        <v>175</v>
      </c>
      <c r="B33" s="3">
        <v>37</v>
      </c>
      <c r="C33" s="2" t="s">
        <v>176</v>
      </c>
      <c r="D33" s="3" t="s">
        <v>86</v>
      </c>
      <c r="E33" s="3" t="s">
        <v>82</v>
      </c>
      <c r="F33" s="3" t="s">
        <v>93</v>
      </c>
    </row>
    <row r="34" spans="1:6" ht="41" customHeight="1" x14ac:dyDescent="0.2">
      <c r="A34" s="3" t="s">
        <v>177</v>
      </c>
      <c r="B34" s="3">
        <v>36</v>
      </c>
      <c r="C34" s="3" t="s">
        <v>178</v>
      </c>
      <c r="D34" s="3" t="s">
        <v>86</v>
      </c>
      <c r="E34" s="3" t="s">
        <v>82</v>
      </c>
      <c r="F34" s="3" t="s">
        <v>93</v>
      </c>
    </row>
    <row r="35" spans="1:6" ht="41" customHeight="1" x14ac:dyDescent="0.2">
      <c r="A35" s="3" t="s">
        <v>179</v>
      </c>
      <c r="B35" s="3">
        <v>33</v>
      </c>
      <c r="C35" s="4" t="s">
        <v>180</v>
      </c>
      <c r="D35" s="3" t="s">
        <v>81</v>
      </c>
      <c r="E35" s="3" t="s">
        <v>100</v>
      </c>
      <c r="F35" s="2" t="s">
        <v>101</v>
      </c>
    </row>
    <row r="36" spans="1:6" ht="41" customHeight="1" x14ac:dyDescent="0.2">
      <c r="A36" s="6" t="s">
        <v>181</v>
      </c>
      <c r="B36" s="3">
        <v>29</v>
      </c>
      <c r="C36" s="4" t="s">
        <v>182</v>
      </c>
      <c r="D36" s="4" t="s">
        <v>150</v>
      </c>
      <c r="E36" s="4" t="s">
        <v>183</v>
      </c>
      <c r="F36" s="4" t="s">
        <v>184</v>
      </c>
    </row>
    <row r="37" spans="1:6" ht="41" customHeight="1" x14ac:dyDescent="0.2">
      <c r="A37" s="3" t="s">
        <v>185</v>
      </c>
      <c r="B37" s="3">
        <v>29</v>
      </c>
      <c r="C37" s="2" t="s">
        <v>186</v>
      </c>
      <c r="D37" s="3" t="s">
        <v>81</v>
      </c>
      <c r="E37" s="3" t="s">
        <v>187</v>
      </c>
      <c r="F37" s="3" t="s">
        <v>188</v>
      </c>
    </row>
    <row r="38" spans="1:6" ht="41" customHeight="1" x14ac:dyDescent="0.2">
      <c r="A38" s="3" t="s">
        <v>189</v>
      </c>
      <c r="B38" s="3">
        <v>27</v>
      </c>
      <c r="C38" s="2" t="s">
        <v>190</v>
      </c>
      <c r="D38" s="3" t="s">
        <v>81</v>
      </c>
      <c r="E38" s="2" t="s">
        <v>150</v>
      </c>
      <c r="F38" s="2" t="s">
        <v>191</v>
      </c>
    </row>
    <row r="39" spans="1:6" ht="41" customHeight="1" x14ac:dyDescent="0.2">
      <c r="A39" s="3" t="s">
        <v>192</v>
      </c>
      <c r="B39" s="3">
        <v>24</v>
      </c>
      <c r="C39" s="8" t="s">
        <v>193</v>
      </c>
      <c r="D39" s="8" t="s">
        <v>81</v>
      </c>
      <c r="E39" s="8" t="s">
        <v>194</v>
      </c>
      <c r="F39" s="8" t="s">
        <v>83</v>
      </c>
    </row>
    <row r="40" spans="1:6" ht="41" customHeight="1" x14ac:dyDescent="0.2">
      <c r="A40" s="3" t="s">
        <v>195</v>
      </c>
      <c r="B40" s="3">
        <v>16</v>
      </c>
      <c r="C40" s="2" t="s">
        <v>196</v>
      </c>
      <c r="D40" s="3" t="s">
        <v>150</v>
      </c>
      <c r="E40" s="2" t="s">
        <v>82</v>
      </c>
      <c r="F40" s="4" t="s">
        <v>197</v>
      </c>
    </row>
    <row r="41" spans="1:6" ht="41" customHeight="1" x14ac:dyDescent="0.2">
      <c r="A41" s="3" t="s">
        <v>198</v>
      </c>
      <c r="B41" s="3">
        <v>15</v>
      </c>
      <c r="C41" s="2" t="s">
        <v>199</v>
      </c>
      <c r="D41" s="2" t="s">
        <v>81</v>
      </c>
      <c r="E41" s="6" t="s">
        <v>82</v>
      </c>
      <c r="F41" s="4" t="s">
        <v>200</v>
      </c>
    </row>
    <row r="42" spans="1:6" ht="41" customHeight="1" x14ac:dyDescent="0.2">
      <c r="A42" s="3" t="s">
        <v>201</v>
      </c>
      <c r="B42" s="3">
        <v>13</v>
      </c>
      <c r="C42" s="2" t="s">
        <v>202</v>
      </c>
      <c r="D42" s="6" t="s">
        <v>203</v>
      </c>
      <c r="E42" s="6" t="s">
        <v>116</v>
      </c>
      <c r="F42" s="6" t="s">
        <v>83</v>
      </c>
    </row>
    <row r="43" spans="1:6" ht="41" customHeight="1" x14ac:dyDescent="0.2">
      <c r="A43" s="3" t="s">
        <v>204</v>
      </c>
      <c r="B43" s="3">
        <v>13</v>
      </c>
      <c r="C43" s="2" t="s">
        <v>205</v>
      </c>
      <c r="D43" s="3" t="s">
        <v>81</v>
      </c>
      <c r="E43" s="3" t="s">
        <v>82</v>
      </c>
      <c r="F43" s="3" t="s">
        <v>83</v>
      </c>
    </row>
    <row r="44" spans="1:6" ht="41" customHeight="1" x14ac:dyDescent="0.2">
      <c r="A44" s="3" t="s">
        <v>206</v>
      </c>
      <c r="B44" s="3">
        <v>12</v>
      </c>
      <c r="C44" s="2" t="s">
        <v>207</v>
      </c>
      <c r="D44" s="6" t="s">
        <v>86</v>
      </c>
      <c r="E44" s="2" t="s">
        <v>208</v>
      </c>
      <c r="F44" s="2" t="s">
        <v>209</v>
      </c>
    </row>
    <row r="45" spans="1:6" ht="41" customHeight="1" x14ac:dyDescent="0.2">
      <c r="A45" s="7" t="s">
        <v>210</v>
      </c>
      <c r="B45" s="3">
        <v>11</v>
      </c>
      <c r="C45" s="4" t="s">
        <v>211</v>
      </c>
      <c r="D45" s="3" t="s">
        <v>86</v>
      </c>
      <c r="E45" s="2" t="s">
        <v>82</v>
      </c>
      <c r="F45" s="2" t="s">
        <v>212</v>
      </c>
    </row>
    <row r="46" spans="1:6" ht="41" customHeight="1" x14ac:dyDescent="0.2">
      <c r="A46" s="3" t="s">
        <v>213</v>
      </c>
      <c r="B46" s="3">
        <v>11</v>
      </c>
      <c r="C46" s="2" t="s">
        <v>214</v>
      </c>
      <c r="D46" s="2" t="s">
        <v>150</v>
      </c>
      <c r="E46" s="2" t="s">
        <v>82</v>
      </c>
      <c r="F46" s="4" t="s">
        <v>215</v>
      </c>
    </row>
    <row r="47" spans="1:6" ht="41" customHeight="1" x14ac:dyDescent="0.2">
      <c r="A47" s="3" t="s">
        <v>216</v>
      </c>
      <c r="B47" s="3">
        <v>10</v>
      </c>
      <c r="C47" s="4" t="s">
        <v>217</v>
      </c>
      <c r="D47" s="3" t="s">
        <v>81</v>
      </c>
      <c r="E47" s="3" t="s">
        <v>82</v>
      </c>
      <c r="F47" s="4" t="s">
        <v>218</v>
      </c>
    </row>
    <row r="48" spans="1:6" ht="41" customHeight="1" x14ac:dyDescent="0.2">
      <c r="A48" s="3" t="s">
        <v>219</v>
      </c>
      <c r="B48" s="3">
        <v>10</v>
      </c>
      <c r="C48" s="2" t="s">
        <v>220</v>
      </c>
      <c r="D48" s="3" t="s">
        <v>81</v>
      </c>
      <c r="E48" s="3" t="s">
        <v>150</v>
      </c>
      <c r="F48" s="3" t="s">
        <v>83</v>
      </c>
    </row>
    <row r="49" spans="1:6" ht="41" customHeight="1" x14ac:dyDescent="0.2">
      <c r="A49" s="3" t="s">
        <v>221</v>
      </c>
      <c r="B49" s="3">
        <v>9</v>
      </c>
      <c r="C49" s="4" t="s">
        <v>222</v>
      </c>
      <c r="D49" s="3" t="s">
        <v>81</v>
      </c>
      <c r="E49" s="3" t="s">
        <v>96</v>
      </c>
      <c r="F49" s="4" t="s">
        <v>223</v>
      </c>
    </row>
    <row r="50" spans="1:6" ht="41" customHeight="1" x14ac:dyDescent="0.2">
      <c r="A50" s="3" t="s">
        <v>224</v>
      </c>
      <c r="B50" s="3">
        <v>9</v>
      </c>
      <c r="C50" s="4" t="s">
        <v>225</v>
      </c>
      <c r="D50" s="3" t="s">
        <v>226</v>
      </c>
      <c r="E50" s="3" t="s">
        <v>82</v>
      </c>
      <c r="F50" s="3" t="s">
        <v>227</v>
      </c>
    </row>
    <row r="51" spans="1:6" ht="41" customHeight="1" x14ac:dyDescent="0.2">
      <c r="A51" s="3" t="s">
        <v>228</v>
      </c>
      <c r="B51" s="3">
        <v>9</v>
      </c>
      <c r="C51" s="2" t="s">
        <v>229</v>
      </c>
      <c r="D51" s="3" t="s">
        <v>81</v>
      </c>
      <c r="E51" s="2" t="s">
        <v>82</v>
      </c>
      <c r="F51" s="2" t="s">
        <v>83</v>
      </c>
    </row>
    <row r="52" spans="1:6" ht="41" customHeight="1" x14ac:dyDescent="0.2">
      <c r="A52" s="3" t="s">
        <v>230</v>
      </c>
      <c r="B52" s="3">
        <v>9</v>
      </c>
      <c r="C52" s="4" t="s">
        <v>231</v>
      </c>
      <c r="D52" s="3" t="s">
        <v>150</v>
      </c>
      <c r="E52" s="2" t="s">
        <v>82</v>
      </c>
      <c r="F52" s="2" t="s">
        <v>232</v>
      </c>
    </row>
    <row r="53" spans="1:6" ht="41" customHeight="1" x14ac:dyDescent="0.2">
      <c r="A53" s="3" t="s">
        <v>150</v>
      </c>
      <c r="B53" s="3">
        <v>8</v>
      </c>
      <c r="C53" s="4" t="s">
        <v>233</v>
      </c>
      <c r="D53" s="2" t="s">
        <v>86</v>
      </c>
      <c r="E53" s="2" t="s">
        <v>234</v>
      </c>
      <c r="F53" s="4" t="s">
        <v>159</v>
      </c>
    </row>
    <row r="54" spans="1:6" ht="41" customHeight="1" x14ac:dyDescent="0.2">
      <c r="A54" s="3" t="s">
        <v>235</v>
      </c>
      <c r="B54" s="3">
        <v>8</v>
      </c>
      <c r="C54" s="2" t="s">
        <v>236</v>
      </c>
      <c r="D54" s="2" t="s">
        <v>81</v>
      </c>
      <c r="E54" s="2" t="s">
        <v>150</v>
      </c>
      <c r="F54" s="2" t="s">
        <v>237</v>
      </c>
    </row>
    <row r="55" spans="1:6" ht="41" customHeight="1" x14ac:dyDescent="0.2">
      <c r="A55" s="3" t="s">
        <v>238</v>
      </c>
      <c r="B55" s="3">
        <v>6</v>
      </c>
      <c r="C55" s="4" t="s">
        <v>239</v>
      </c>
      <c r="D55" s="3" t="s">
        <v>150</v>
      </c>
      <c r="E55" s="3" t="s">
        <v>150</v>
      </c>
      <c r="F55" s="2" t="s">
        <v>83</v>
      </c>
    </row>
    <row r="56" spans="1:6" ht="41" customHeight="1" x14ac:dyDescent="0.2">
      <c r="A56" s="3" t="s">
        <v>240</v>
      </c>
      <c r="B56" s="3">
        <v>6</v>
      </c>
      <c r="C56" s="4" t="s">
        <v>241</v>
      </c>
      <c r="D56" s="3" t="s">
        <v>150</v>
      </c>
      <c r="E56" s="2" t="s">
        <v>150</v>
      </c>
      <c r="F56" s="2" t="s">
        <v>83</v>
      </c>
    </row>
    <row r="57" spans="1:6" ht="41" customHeight="1" x14ac:dyDescent="0.2">
      <c r="A57" s="7" t="s">
        <v>242</v>
      </c>
      <c r="B57" s="3">
        <v>4</v>
      </c>
      <c r="C57" s="4" t="s">
        <v>243</v>
      </c>
      <c r="D57" s="3" t="s">
        <v>81</v>
      </c>
      <c r="E57" s="2" t="s">
        <v>150</v>
      </c>
      <c r="F57" s="2" t="s">
        <v>83</v>
      </c>
    </row>
    <row r="58" spans="1:6" ht="41" customHeight="1" x14ac:dyDescent="0.2">
      <c r="A58" s="3" t="s">
        <v>244</v>
      </c>
      <c r="B58" s="3">
        <v>4</v>
      </c>
      <c r="C58" s="2" t="s">
        <v>245</v>
      </c>
      <c r="D58" s="3" t="s">
        <v>81</v>
      </c>
      <c r="E58" s="3" t="s">
        <v>246</v>
      </c>
      <c r="F58" s="6" t="s">
        <v>97</v>
      </c>
    </row>
    <row r="59" spans="1:6" ht="41" customHeight="1" x14ac:dyDescent="0.2">
      <c r="A59" s="6" t="s">
        <v>247</v>
      </c>
      <c r="B59" s="3">
        <v>3</v>
      </c>
      <c r="C59" s="4" t="s">
        <v>248</v>
      </c>
      <c r="D59" s="2" t="s">
        <v>81</v>
      </c>
      <c r="E59" s="2" t="s">
        <v>100</v>
      </c>
      <c r="F59" s="2" t="s">
        <v>83</v>
      </c>
    </row>
    <row r="60" spans="1:6" ht="41" customHeight="1" x14ac:dyDescent="0.2">
      <c r="A60" s="3" t="s">
        <v>150</v>
      </c>
      <c r="B60" s="3">
        <v>3</v>
      </c>
      <c r="C60" s="4" t="s">
        <v>249</v>
      </c>
      <c r="D60" s="3" t="s">
        <v>81</v>
      </c>
      <c r="E60" s="2" t="s">
        <v>150</v>
      </c>
      <c r="F60" s="2" t="s">
        <v>101</v>
      </c>
    </row>
    <row r="61" spans="1:6" ht="41" customHeight="1" x14ac:dyDescent="0.2">
      <c r="A61" s="3" t="s">
        <v>250</v>
      </c>
      <c r="B61" s="3">
        <v>2</v>
      </c>
      <c r="C61" s="2" t="s">
        <v>251</v>
      </c>
      <c r="D61" s="3" t="s">
        <v>81</v>
      </c>
      <c r="E61" s="3" t="s">
        <v>82</v>
      </c>
      <c r="F61" s="3" t="s">
        <v>83</v>
      </c>
    </row>
    <row r="62" spans="1:6" ht="41" customHeight="1" x14ac:dyDescent="0.2">
      <c r="A62" s="3" t="s">
        <v>252</v>
      </c>
      <c r="B62" s="3">
        <v>2</v>
      </c>
      <c r="C62" s="2" t="s">
        <v>253</v>
      </c>
      <c r="D62" s="3" t="s">
        <v>81</v>
      </c>
      <c r="E62" s="3" t="s">
        <v>82</v>
      </c>
      <c r="F62" s="3" t="s">
        <v>83</v>
      </c>
    </row>
    <row r="63" spans="1:6" ht="41" customHeight="1" x14ac:dyDescent="0.2">
      <c r="A63" s="3" t="s">
        <v>254</v>
      </c>
      <c r="B63" s="3">
        <v>2</v>
      </c>
      <c r="C63" s="2" t="s">
        <v>255</v>
      </c>
      <c r="D63" s="3" t="s">
        <v>86</v>
      </c>
      <c r="E63" s="2" t="s">
        <v>82</v>
      </c>
      <c r="F63" s="2" t="s">
        <v>93</v>
      </c>
    </row>
    <row r="64" spans="1:6" ht="41" customHeight="1" x14ac:dyDescent="0.2">
      <c r="A64" s="3" t="s">
        <v>256</v>
      </c>
      <c r="B64" s="3">
        <v>2</v>
      </c>
      <c r="C64" s="2" t="s">
        <v>257</v>
      </c>
      <c r="D64" s="3" t="s">
        <v>86</v>
      </c>
      <c r="E64" s="2" t="s">
        <v>258</v>
      </c>
      <c r="F64" s="2" t="s">
        <v>83</v>
      </c>
    </row>
    <row r="65" spans="1:6" ht="41" customHeight="1" x14ac:dyDescent="0.2">
      <c r="A65" s="3" t="s">
        <v>259</v>
      </c>
      <c r="B65" s="3">
        <v>2</v>
      </c>
      <c r="C65" s="6" t="s">
        <v>260</v>
      </c>
      <c r="D65" s="6" t="s">
        <v>81</v>
      </c>
      <c r="E65" s="6" t="s">
        <v>82</v>
      </c>
      <c r="F65" s="6" t="s">
        <v>261</v>
      </c>
    </row>
    <row r="66" spans="1:6" ht="41" customHeight="1" x14ac:dyDescent="0.2">
      <c r="A66" s="3" t="s">
        <v>262</v>
      </c>
      <c r="B66" s="3">
        <v>2</v>
      </c>
      <c r="C66" s="2" t="s">
        <v>263</v>
      </c>
      <c r="D66" s="6" t="s">
        <v>150</v>
      </c>
      <c r="E66" s="6" t="s">
        <v>264</v>
      </c>
      <c r="F66" s="6" t="s">
        <v>265</v>
      </c>
    </row>
    <row r="67" spans="1:6" ht="41" customHeight="1" x14ac:dyDescent="0.2">
      <c r="A67" s="3" t="s">
        <v>150</v>
      </c>
      <c r="B67" s="3">
        <v>1</v>
      </c>
      <c r="C67" s="4" t="s">
        <v>266</v>
      </c>
      <c r="D67" s="3" t="s">
        <v>86</v>
      </c>
      <c r="E67" s="2" t="s">
        <v>82</v>
      </c>
      <c r="F67" s="2" t="s">
        <v>93</v>
      </c>
    </row>
    <row r="68" spans="1:6" ht="41" customHeight="1" x14ac:dyDescent="0.2">
      <c r="A68" s="5" t="s">
        <v>267</v>
      </c>
      <c r="B68" s="3">
        <v>1</v>
      </c>
      <c r="C68" s="2" t="s">
        <v>268</v>
      </c>
      <c r="D68" s="3" t="s">
        <v>86</v>
      </c>
      <c r="E68" s="3" t="s">
        <v>269</v>
      </c>
      <c r="F68" s="3" t="s">
        <v>83</v>
      </c>
    </row>
    <row r="69" spans="1:6" ht="41" customHeight="1" x14ac:dyDescent="0.2">
      <c r="A69" s="3" t="s">
        <v>270</v>
      </c>
      <c r="B69" s="3">
        <v>1</v>
      </c>
      <c r="C69" s="4" t="s">
        <v>271</v>
      </c>
      <c r="D69" s="3" t="s">
        <v>81</v>
      </c>
      <c r="E69" s="3" t="s">
        <v>272</v>
      </c>
      <c r="F69" s="3" t="s">
        <v>83</v>
      </c>
    </row>
    <row r="70" spans="1:6" ht="41" customHeight="1" x14ac:dyDescent="0.2">
      <c r="A70" s="3" t="s">
        <v>273</v>
      </c>
      <c r="B70" s="3">
        <v>1</v>
      </c>
      <c r="C70" s="4" t="s">
        <v>274</v>
      </c>
      <c r="D70" s="3" t="s">
        <v>86</v>
      </c>
      <c r="E70" s="3" t="s">
        <v>234</v>
      </c>
      <c r="F70" s="3" t="s">
        <v>83</v>
      </c>
    </row>
    <row r="71" spans="1:6" ht="41" customHeight="1" x14ac:dyDescent="0.2">
      <c r="A71" s="3" t="s">
        <v>275</v>
      </c>
      <c r="B71" s="3">
        <v>1</v>
      </c>
      <c r="C71" s="2" t="s">
        <v>276</v>
      </c>
      <c r="D71" s="3" t="s">
        <v>81</v>
      </c>
      <c r="E71" s="3" t="s">
        <v>96</v>
      </c>
      <c r="F71" s="3" t="s">
        <v>83</v>
      </c>
    </row>
    <row r="72" spans="1:6" ht="41" customHeight="1" x14ac:dyDescent="0.2">
      <c r="A72" s="3" t="s">
        <v>277</v>
      </c>
      <c r="B72" s="3">
        <v>1</v>
      </c>
      <c r="C72" s="4" t="s">
        <v>278</v>
      </c>
      <c r="D72" s="3" t="s">
        <v>86</v>
      </c>
      <c r="E72" s="2" t="s">
        <v>150</v>
      </c>
      <c r="F72" s="2" t="s">
        <v>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AABBC-8D5F-A842-A908-3A3D7EADED5B}">
  <dimension ref="A1:M29"/>
  <sheetViews>
    <sheetView tabSelected="1" topLeftCell="C1" zoomScale="90" zoomScaleNormal="90" workbookViewId="0">
      <selection activeCell="H2" sqref="H2"/>
    </sheetView>
  </sheetViews>
  <sheetFormatPr baseColWidth="10" defaultRowHeight="16" x14ac:dyDescent="0.2"/>
  <cols>
    <col min="1" max="1" width="23" customWidth="1"/>
    <col min="2" max="2" width="23.33203125" customWidth="1"/>
    <col min="3" max="3" width="33.6640625" customWidth="1"/>
    <col min="4" max="4" width="27.6640625" customWidth="1"/>
    <col min="5" max="5" width="31.33203125" customWidth="1"/>
    <col min="6" max="6" width="27" customWidth="1"/>
    <col min="7" max="7" width="27.6640625" customWidth="1"/>
    <col min="8" max="10" width="25.83203125" customWidth="1"/>
    <col min="12" max="12" width="16.5" customWidth="1"/>
  </cols>
  <sheetData>
    <row r="1" spans="1:13" ht="51" x14ac:dyDescent="0.2">
      <c r="A1" s="22" t="s">
        <v>73</v>
      </c>
      <c r="B1" s="22" t="s">
        <v>74</v>
      </c>
      <c r="C1" s="22" t="s">
        <v>75</v>
      </c>
      <c r="D1" s="22" t="s">
        <v>76</v>
      </c>
      <c r="E1" s="22" t="s">
        <v>77</v>
      </c>
      <c r="F1" s="22" t="s">
        <v>78</v>
      </c>
      <c r="G1" s="23" t="s">
        <v>307</v>
      </c>
      <c r="H1" s="23" t="s">
        <v>308</v>
      </c>
      <c r="I1" s="24" t="s">
        <v>393</v>
      </c>
      <c r="J1" s="24" t="s">
        <v>394</v>
      </c>
      <c r="K1" s="25" t="s">
        <v>309</v>
      </c>
      <c r="L1" s="25" t="s">
        <v>310</v>
      </c>
    </row>
    <row r="2" spans="1:13" ht="119" x14ac:dyDescent="0.2">
      <c r="A2" s="6" t="s">
        <v>79</v>
      </c>
      <c r="B2" s="6">
        <v>915</v>
      </c>
      <c r="C2" s="4" t="s">
        <v>80</v>
      </c>
      <c r="D2" s="6" t="s">
        <v>81</v>
      </c>
      <c r="E2" s="6" t="s">
        <v>82</v>
      </c>
      <c r="F2" s="6" t="s">
        <v>83</v>
      </c>
      <c r="G2" s="26">
        <v>9.4E-2</v>
      </c>
      <c r="H2" s="4" t="s">
        <v>311</v>
      </c>
      <c r="I2" s="4" t="s">
        <v>150</v>
      </c>
      <c r="J2" s="4" t="s">
        <v>312</v>
      </c>
      <c r="K2" s="4" t="s">
        <v>313</v>
      </c>
      <c r="L2" s="6"/>
    </row>
    <row r="3" spans="1:13" ht="102" x14ac:dyDescent="0.2">
      <c r="A3" s="27" t="s">
        <v>84</v>
      </c>
      <c r="B3" s="27">
        <v>737</v>
      </c>
      <c r="C3" s="28" t="s">
        <v>85</v>
      </c>
      <c r="D3" s="28" t="s">
        <v>86</v>
      </c>
      <c r="E3" s="28" t="s">
        <v>87</v>
      </c>
      <c r="F3" s="28" t="s">
        <v>88</v>
      </c>
      <c r="G3" s="29">
        <v>1.6299999999999999E-2</v>
      </c>
      <c r="H3" s="30" t="s">
        <v>314</v>
      </c>
      <c r="I3" s="31" t="s">
        <v>150</v>
      </c>
      <c r="J3" s="31" t="s">
        <v>315</v>
      </c>
      <c r="K3" s="30" t="s">
        <v>316</v>
      </c>
      <c r="L3" s="31"/>
    </row>
    <row r="4" spans="1:13" ht="289" x14ac:dyDescent="0.2">
      <c r="A4" s="6" t="s">
        <v>89</v>
      </c>
      <c r="B4" s="6">
        <v>400</v>
      </c>
      <c r="C4" s="4" t="s">
        <v>90</v>
      </c>
      <c r="D4" s="6" t="s">
        <v>203</v>
      </c>
      <c r="E4" s="6" t="s">
        <v>392</v>
      </c>
      <c r="F4" s="4" t="s">
        <v>83</v>
      </c>
      <c r="G4" s="32">
        <v>0</v>
      </c>
      <c r="H4" s="4" t="s">
        <v>317</v>
      </c>
      <c r="I4" s="4">
        <f>46000000*(100*2)/1000000000</f>
        <v>9.1999999999999993</v>
      </c>
      <c r="J4" s="4" t="s">
        <v>318</v>
      </c>
      <c r="K4" s="4" t="s">
        <v>319</v>
      </c>
      <c r="L4" s="6"/>
    </row>
    <row r="5" spans="1:13" ht="409" customHeight="1" x14ac:dyDescent="0.2">
      <c r="A5" s="27" t="s">
        <v>91</v>
      </c>
      <c r="B5" s="27">
        <v>385</v>
      </c>
      <c r="C5" s="28" t="s">
        <v>92</v>
      </c>
      <c r="D5" s="27" t="s">
        <v>86</v>
      </c>
      <c r="E5" s="28" t="s">
        <v>82</v>
      </c>
      <c r="F5" s="28" t="s">
        <v>93</v>
      </c>
      <c r="G5" s="33">
        <v>0</v>
      </c>
      <c r="H5" s="30" t="s">
        <v>320</v>
      </c>
      <c r="I5" s="30">
        <f>9160000/2.5*(150*2)/1000000000</f>
        <v>1.0992</v>
      </c>
      <c r="J5" s="30" t="s">
        <v>321</v>
      </c>
      <c r="K5" s="30" t="s">
        <v>322</v>
      </c>
      <c r="L5" s="31"/>
    </row>
    <row r="6" spans="1:13" ht="323" x14ac:dyDescent="0.2">
      <c r="A6" s="6" t="s">
        <v>94</v>
      </c>
      <c r="B6" s="6">
        <v>370</v>
      </c>
      <c r="C6" s="4" t="s">
        <v>95</v>
      </c>
      <c r="D6" s="6" t="s">
        <v>81</v>
      </c>
      <c r="E6" s="4" t="s">
        <v>96</v>
      </c>
      <c r="F6" s="4" t="s">
        <v>97</v>
      </c>
      <c r="G6" s="34">
        <v>0.35399999999999998</v>
      </c>
      <c r="H6" s="4" t="s">
        <v>323</v>
      </c>
      <c r="I6" s="6">
        <f>20000000*(82.5*2)/1000000000</f>
        <v>3.3</v>
      </c>
      <c r="J6" s="6" t="s">
        <v>324</v>
      </c>
      <c r="K6" s="4" t="s">
        <v>325</v>
      </c>
    </row>
    <row r="7" spans="1:13" ht="255" x14ac:dyDescent="0.2">
      <c r="A7" s="27" t="s">
        <v>98</v>
      </c>
      <c r="B7" s="27">
        <v>292</v>
      </c>
      <c r="C7" s="28" t="s">
        <v>99</v>
      </c>
      <c r="D7" s="28" t="s">
        <v>81</v>
      </c>
      <c r="E7" s="28" t="s">
        <v>100</v>
      </c>
      <c r="F7" s="28" t="s">
        <v>101</v>
      </c>
      <c r="G7" s="35">
        <v>0.318</v>
      </c>
      <c r="H7" s="30" t="s">
        <v>326</v>
      </c>
      <c r="I7" s="31">
        <f>34100000*(75*2)/1000000000</f>
        <v>5.1150000000000002</v>
      </c>
      <c r="J7" s="31" t="s">
        <v>327</v>
      </c>
      <c r="K7" s="30" t="s">
        <v>328</v>
      </c>
      <c r="L7" s="36"/>
    </row>
    <row r="8" spans="1:13" ht="51" x14ac:dyDescent="0.2">
      <c r="A8" s="6" t="s">
        <v>102</v>
      </c>
      <c r="B8" s="6">
        <v>249</v>
      </c>
      <c r="C8" s="4" t="s">
        <v>103</v>
      </c>
      <c r="D8" s="6" t="s">
        <v>81</v>
      </c>
      <c r="E8" s="6" t="s">
        <v>96</v>
      </c>
      <c r="F8" s="4" t="s">
        <v>101</v>
      </c>
      <c r="G8" s="34">
        <v>0.52200000000000002</v>
      </c>
      <c r="H8" s="4" t="s">
        <v>329</v>
      </c>
      <c r="I8" s="6" t="s">
        <v>150</v>
      </c>
      <c r="J8" s="6" t="s">
        <v>330</v>
      </c>
      <c r="K8" s="4" t="s">
        <v>331</v>
      </c>
    </row>
    <row r="9" spans="1:13" ht="68" x14ac:dyDescent="0.2">
      <c r="A9" s="27" t="s">
        <v>104</v>
      </c>
      <c r="B9" s="27">
        <v>249</v>
      </c>
      <c r="C9" s="28" t="s">
        <v>105</v>
      </c>
      <c r="D9" s="27" t="s">
        <v>81</v>
      </c>
      <c r="E9" s="27" t="s">
        <v>106</v>
      </c>
      <c r="F9" s="28" t="s">
        <v>107</v>
      </c>
      <c r="G9" s="35">
        <v>0.58199999999999996</v>
      </c>
      <c r="H9" s="30" t="s">
        <v>332</v>
      </c>
      <c r="I9" s="31" t="s">
        <v>150</v>
      </c>
      <c r="J9" s="31" t="s">
        <v>333</v>
      </c>
      <c r="K9" s="30" t="s">
        <v>334</v>
      </c>
      <c r="L9" s="36"/>
    </row>
    <row r="10" spans="1:13" ht="170" x14ac:dyDescent="0.2">
      <c r="A10" s="6" t="s">
        <v>108</v>
      </c>
      <c r="B10" s="6">
        <v>233</v>
      </c>
      <c r="C10" s="4" t="s">
        <v>109</v>
      </c>
      <c r="D10" s="6" t="s">
        <v>81</v>
      </c>
      <c r="E10" s="6" t="s">
        <v>106</v>
      </c>
      <c r="F10" s="4" t="s">
        <v>110</v>
      </c>
      <c r="G10" s="34">
        <v>0.15</v>
      </c>
      <c r="H10" s="4" t="s">
        <v>335</v>
      </c>
      <c r="I10" s="6" t="s">
        <v>150</v>
      </c>
      <c r="J10" s="6" t="s">
        <v>336</v>
      </c>
      <c r="K10" s="4" t="s">
        <v>337</v>
      </c>
    </row>
    <row r="11" spans="1:13" ht="102" x14ac:dyDescent="0.2">
      <c r="A11" s="27" t="s">
        <v>111</v>
      </c>
      <c r="B11" s="27">
        <v>232</v>
      </c>
      <c r="C11" s="28" t="s">
        <v>112</v>
      </c>
      <c r="D11" s="27" t="s">
        <v>81</v>
      </c>
      <c r="E11" s="27" t="s">
        <v>96</v>
      </c>
      <c r="F11" s="27" t="s">
        <v>113</v>
      </c>
      <c r="G11" s="37">
        <v>0.39700000000000002</v>
      </c>
      <c r="H11" s="30" t="s">
        <v>338</v>
      </c>
      <c r="I11" s="31" t="s">
        <v>150</v>
      </c>
      <c r="J11" s="30" t="s">
        <v>150</v>
      </c>
      <c r="K11" s="30" t="s">
        <v>339</v>
      </c>
      <c r="L11" s="36"/>
    </row>
    <row r="12" spans="1:13" ht="340" x14ac:dyDescent="0.2">
      <c r="A12" s="6" t="s">
        <v>114</v>
      </c>
      <c r="B12" s="6">
        <v>168</v>
      </c>
      <c r="C12" s="4" t="s">
        <v>115</v>
      </c>
      <c r="D12" s="6" t="s">
        <v>81</v>
      </c>
      <c r="E12" s="6" t="s">
        <v>116</v>
      </c>
      <c r="F12" s="6" t="s">
        <v>83</v>
      </c>
      <c r="G12" s="38">
        <v>0.29199999999999998</v>
      </c>
      <c r="H12" s="4" t="s">
        <v>340</v>
      </c>
      <c r="I12" s="6" t="s">
        <v>150</v>
      </c>
      <c r="J12" s="6" t="s">
        <v>150</v>
      </c>
      <c r="K12" s="4" t="s">
        <v>341</v>
      </c>
      <c r="L12" s="4" t="s">
        <v>342</v>
      </c>
    </row>
    <row r="13" spans="1:13" ht="51" x14ac:dyDescent="0.2">
      <c r="A13" s="27" t="s">
        <v>117</v>
      </c>
      <c r="B13" s="27">
        <v>168</v>
      </c>
      <c r="C13" s="28" t="s">
        <v>118</v>
      </c>
      <c r="D13" s="27" t="s">
        <v>81</v>
      </c>
      <c r="E13" s="27" t="s">
        <v>96</v>
      </c>
      <c r="F13" s="27" t="s">
        <v>113</v>
      </c>
      <c r="G13" s="37">
        <v>0.54800000000000004</v>
      </c>
      <c r="H13" s="31" t="s">
        <v>150</v>
      </c>
      <c r="I13" s="31" t="s">
        <v>150</v>
      </c>
      <c r="J13" s="31" t="s">
        <v>150</v>
      </c>
      <c r="K13" s="31" t="s">
        <v>150</v>
      </c>
      <c r="L13" s="36"/>
      <c r="M13" s="6"/>
    </row>
    <row r="14" spans="1:13" ht="119" x14ac:dyDescent="0.2">
      <c r="A14" s="6" t="s">
        <v>119</v>
      </c>
      <c r="B14" s="6">
        <v>156</v>
      </c>
      <c r="C14" s="4" t="s">
        <v>120</v>
      </c>
      <c r="D14" s="6" t="s">
        <v>81</v>
      </c>
      <c r="E14" s="6" t="s">
        <v>121</v>
      </c>
      <c r="F14" s="4" t="s">
        <v>122</v>
      </c>
      <c r="G14" s="39">
        <v>0</v>
      </c>
      <c r="H14" s="4" t="s">
        <v>343</v>
      </c>
      <c r="I14" s="6" t="s">
        <v>150</v>
      </c>
      <c r="J14" s="6" t="s">
        <v>344</v>
      </c>
      <c r="K14" s="4" t="s">
        <v>345</v>
      </c>
      <c r="L14" s="4" t="s">
        <v>346</v>
      </c>
    </row>
    <row r="15" spans="1:13" ht="85" x14ac:dyDescent="0.2">
      <c r="A15" s="27" t="s">
        <v>123</v>
      </c>
      <c r="B15" s="27">
        <v>140</v>
      </c>
      <c r="C15" s="28" t="s">
        <v>124</v>
      </c>
      <c r="D15" s="27" t="s">
        <v>81</v>
      </c>
      <c r="E15" s="27" t="s">
        <v>96</v>
      </c>
      <c r="F15" s="28" t="s">
        <v>125</v>
      </c>
      <c r="G15" s="37">
        <v>0.8</v>
      </c>
      <c r="H15" s="30" t="s">
        <v>347</v>
      </c>
      <c r="I15" s="31" t="s">
        <v>150</v>
      </c>
      <c r="J15" s="31" t="s">
        <v>348</v>
      </c>
      <c r="K15" s="30" t="s">
        <v>349</v>
      </c>
      <c r="L15" s="30" t="s">
        <v>350</v>
      </c>
    </row>
    <row r="16" spans="1:13" ht="85" x14ac:dyDescent="0.2">
      <c r="A16" s="6" t="s">
        <v>126</v>
      </c>
      <c r="B16" s="6">
        <v>128</v>
      </c>
      <c r="C16" s="4" t="s">
        <v>127</v>
      </c>
      <c r="D16" s="6" t="s">
        <v>81</v>
      </c>
      <c r="E16" s="6" t="s">
        <v>96</v>
      </c>
      <c r="F16" s="4" t="s">
        <v>122</v>
      </c>
      <c r="G16" s="39">
        <v>0</v>
      </c>
      <c r="H16" s="4" t="s">
        <v>351</v>
      </c>
      <c r="I16" s="6">
        <f>((60496561+60162577)/2)*200/1000000000</f>
        <v>12.065913800000001</v>
      </c>
      <c r="J16" s="6" t="s">
        <v>352</v>
      </c>
      <c r="K16" s="4" t="s">
        <v>353</v>
      </c>
      <c r="L16" s="4" t="s">
        <v>354</v>
      </c>
    </row>
    <row r="17" spans="1:13" ht="153" x14ac:dyDescent="0.2">
      <c r="A17" s="27" t="s">
        <v>128</v>
      </c>
      <c r="B17" s="27">
        <v>111</v>
      </c>
      <c r="C17" s="28" t="s">
        <v>129</v>
      </c>
      <c r="D17" s="27" t="s">
        <v>81</v>
      </c>
      <c r="E17" s="28" t="s">
        <v>82</v>
      </c>
      <c r="F17" s="28" t="s">
        <v>83</v>
      </c>
      <c r="G17" s="37">
        <v>0.189</v>
      </c>
      <c r="H17" s="40" t="s">
        <v>355</v>
      </c>
      <c r="I17" s="41">
        <f>26202286*150*2/1000000000</f>
        <v>7.8606857999999997</v>
      </c>
      <c r="J17" s="41" t="s">
        <v>356</v>
      </c>
      <c r="K17" s="30" t="s">
        <v>357</v>
      </c>
      <c r="L17" s="42"/>
      <c r="M17" s="43"/>
    </row>
    <row r="18" spans="1:13" ht="136" x14ac:dyDescent="0.2">
      <c r="A18" s="6" t="s">
        <v>130</v>
      </c>
      <c r="B18" s="6">
        <v>110</v>
      </c>
      <c r="C18" s="4" t="s">
        <v>131</v>
      </c>
      <c r="D18" s="4" t="s">
        <v>81</v>
      </c>
      <c r="E18" s="4" t="s">
        <v>82</v>
      </c>
      <c r="F18" s="4" t="s">
        <v>122</v>
      </c>
      <c r="G18" s="39">
        <v>0</v>
      </c>
      <c r="H18" s="4" t="s">
        <v>358</v>
      </c>
      <c r="I18" s="4" t="s">
        <v>150</v>
      </c>
      <c r="J18" s="4" t="s">
        <v>359</v>
      </c>
      <c r="K18" s="4" t="s">
        <v>360</v>
      </c>
      <c r="L18" s="44" t="s">
        <v>361</v>
      </c>
      <c r="M18" s="4"/>
    </row>
    <row r="19" spans="1:13" ht="102" x14ac:dyDescent="0.2">
      <c r="A19" s="27" t="s">
        <v>132</v>
      </c>
      <c r="B19" s="27">
        <v>97</v>
      </c>
      <c r="C19" s="28" t="s">
        <v>133</v>
      </c>
      <c r="D19" s="28" t="s">
        <v>81</v>
      </c>
      <c r="E19" s="28" t="s">
        <v>96</v>
      </c>
      <c r="F19" s="28" t="s">
        <v>134</v>
      </c>
      <c r="G19" s="37">
        <v>0.39200000000000002</v>
      </c>
      <c r="H19" s="30" t="s">
        <v>362</v>
      </c>
      <c r="I19" s="31">
        <f>30000000*200/1000000000</f>
        <v>6</v>
      </c>
      <c r="J19" s="31" t="s">
        <v>363</v>
      </c>
      <c r="K19" s="30" t="s">
        <v>364</v>
      </c>
      <c r="L19" s="30" t="s">
        <v>365</v>
      </c>
    </row>
    <row r="20" spans="1:13" ht="17" x14ac:dyDescent="0.2">
      <c r="A20" s="6" t="s">
        <v>135</v>
      </c>
      <c r="B20" s="6">
        <v>97</v>
      </c>
      <c r="C20" s="6" t="s">
        <v>136</v>
      </c>
      <c r="D20" s="6" t="s">
        <v>81</v>
      </c>
      <c r="E20" s="6" t="s">
        <v>96</v>
      </c>
      <c r="F20" s="4" t="s">
        <v>137</v>
      </c>
      <c r="G20" s="38">
        <v>0.51500000000000001</v>
      </c>
      <c r="H20" s="6" t="s">
        <v>150</v>
      </c>
      <c r="I20" s="6" t="s">
        <v>150</v>
      </c>
      <c r="J20" s="6" t="s">
        <v>150</v>
      </c>
      <c r="K20" s="6" t="s">
        <v>150</v>
      </c>
      <c r="L20" s="45"/>
      <c r="M20" s="6"/>
    </row>
    <row r="21" spans="1:13" ht="136" x14ac:dyDescent="0.2">
      <c r="A21" s="27" t="s">
        <v>138</v>
      </c>
      <c r="B21" s="27">
        <v>92</v>
      </c>
      <c r="C21" s="28" t="s">
        <v>139</v>
      </c>
      <c r="D21" s="27" t="s">
        <v>81</v>
      </c>
      <c r="E21" s="28" t="s">
        <v>140</v>
      </c>
      <c r="F21" s="28" t="s">
        <v>101</v>
      </c>
      <c r="G21" s="46">
        <v>0</v>
      </c>
      <c r="H21" s="30" t="s">
        <v>366</v>
      </c>
      <c r="I21" s="31">
        <f>10900000*200/1000000000</f>
        <v>2.1800000000000002</v>
      </c>
      <c r="J21" s="31" t="s">
        <v>367</v>
      </c>
      <c r="K21" s="30" t="s">
        <v>368</v>
      </c>
      <c r="L21" s="36"/>
    </row>
    <row r="22" spans="1:13" ht="51" x14ac:dyDescent="0.2">
      <c r="A22" s="6" t="s">
        <v>141</v>
      </c>
      <c r="B22" s="6">
        <v>69</v>
      </c>
      <c r="C22" s="4" t="s">
        <v>142</v>
      </c>
      <c r="D22" s="4" t="s">
        <v>81</v>
      </c>
      <c r="E22" s="4" t="s">
        <v>100</v>
      </c>
      <c r="F22" s="4" t="s">
        <v>83</v>
      </c>
      <c r="G22" s="38">
        <v>0.377</v>
      </c>
      <c r="H22" s="4" t="s">
        <v>332</v>
      </c>
      <c r="I22" s="4" t="s">
        <v>150</v>
      </c>
      <c r="J22" s="6" t="s">
        <v>369</v>
      </c>
      <c r="K22" s="4" t="s">
        <v>334</v>
      </c>
      <c r="L22" s="4" t="s">
        <v>370</v>
      </c>
    </row>
    <row r="23" spans="1:13" ht="102" x14ac:dyDescent="0.2">
      <c r="A23" s="27" t="s">
        <v>143</v>
      </c>
      <c r="B23" s="27">
        <v>63</v>
      </c>
      <c r="C23" s="28" t="s">
        <v>144</v>
      </c>
      <c r="D23" s="27" t="s">
        <v>81</v>
      </c>
      <c r="E23" s="27" t="s">
        <v>82</v>
      </c>
      <c r="F23" s="27" t="s">
        <v>83</v>
      </c>
      <c r="G23" s="37">
        <v>0.38100000000000001</v>
      </c>
      <c r="H23" s="30" t="s">
        <v>371</v>
      </c>
      <c r="I23" s="30">
        <f>15000000*100*2/1000000000</f>
        <v>3</v>
      </c>
      <c r="J23" s="30" t="s">
        <v>372</v>
      </c>
      <c r="K23" s="30" t="s">
        <v>373</v>
      </c>
      <c r="L23" s="30" t="s">
        <v>374</v>
      </c>
      <c r="M23" s="4"/>
    </row>
    <row r="24" spans="1:13" ht="102" x14ac:dyDescent="0.2">
      <c r="A24" s="47" t="s">
        <v>145</v>
      </c>
      <c r="B24" s="6">
        <v>59</v>
      </c>
      <c r="C24" s="4" t="s">
        <v>146</v>
      </c>
      <c r="D24" s="6" t="s">
        <v>81</v>
      </c>
      <c r="E24" s="6" t="s">
        <v>140</v>
      </c>
      <c r="F24" s="4" t="s">
        <v>147</v>
      </c>
      <c r="G24" s="39">
        <v>0</v>
      </c>
      <c r="H24" s="4" t="s">
        <v>375</v>
      </c>
      <c r="I24" s="6" t="s">
        <v>150</v>
      </c>
      <c r="J24" s="6" t="s">
        <v>376</v>
      </c>
      <c r="K24" s="4" t="s">
        <v>377</v>
      </c>
      <c r="L24" s="4" t="s">
        <v>378</v>
      </c>
    </row>
    <row r="25" spans="1:13" ht="102" x14ac:dyDescent="0.2">
      <c r="A25" s="27" t="s">
        <v>148</v>
      </c>
      <c r="B25" s="27">
        <v>58</v>
      </c>
      <c r="C25" s="28" t="s">
        <v>149</v>
      </c>
      <c r="D25" s="27" t="s">
        <v>150</v>
      </c>
      <c r="E25" s="28" t="s">
        <v>151</v>
      </c>
      <c r="F25" s="28" t="s">
        <v>83</v>
      </c>
      <c r="G25" s="46">
        <v>0</v>
      </c>
      <c r="H25" s="30" t="s">
        <v>379</v>
      </c>
      <c r="I25" s="31" t="s">
        <v>150</v>
      </c>
      <c r="J25" s="31" t="s">
        <v>150</v>
      </c>
      <c r="K25" s="30" t="s">
        <v>380</v>
      </c>
      <c r="L25" s="36"/>
    </row>
    <row r="26" spans="1:13" ht="119" x14ac:dyDescent="0.2">
      <c r="A26" s="6" t="s">
        <v>152</v>
      </c>
      <c r="B26" s="6">
        <v>55</v>
      </c>
      <c r="C26" s="4" t="s">
        <v>153</v>
      </c>
      <c r="D26" s="6" t="s">
        <v>81</v>
      </c>
      <c r="E26" s="6" t="s">
        <v>154</v>
      </c>
      <c r="F26" s="4" t="s">
        <v>155</v>
      </c>
      <c r="G26" s="39">
        <v>0</v>
      </c>
      <c r="H26" s="4" t="s">
        <v>381</v>
      </c>
      <c r="I26" s="6" t="s">
        <v>150</v>
      </c>
      <c r="J26" s="6" t="s">
        <v>382</v>
      </c>
      <c r="K26" s="4" t="s">
        <v>383</v>
      </c>
    </row>
    <row r="27" spans="1:13" ht="221" x14ac:dyDescent="0.2">
      <c r="A27" s="27" t="s">
        <v>156</v>
      </c>
      <c r="B27" s="27">
        <v>52</v>
      </c>
      <c r="C27" s="28" t="s">
        <v>157</v>
      </c>
      <c r="D27" s="27" t="s">
        <v>81</v>
      </c>
      <c r="E27" s="28" t="s">
        <v>158</v>
      </c>
      <c r="F27" s="28" t="s">
        <v>159</v>
      </c>
      <c r="G27" s="46">
        <v>0</v>
      </c>
      <c r="H27" s="48" t="s">
        <v>384</v>
      </c>
      <c r="I27" s="42">
        <f>3850*1000000/1000000000</f>
        <v>3.85</v>
      </c>
      <c r="J27" s="42" t="s">
        <v>385</v>
      </c>
      <c r="K27" s="30" t="s">
        <v>386</v>
      </c>
      <c r="L27" s="49"/>
      <c r="M27" s="50"/>
    </row>
    <row r="28" spans="1:13" ht="102" x14ac:dyDescent="0.2">
      <c r="A28" s="6" t="s">
        <v>160</v>
      </c>
      <c r="B28" s="6">
        <v>51</v>
      </c>
      <c r="C28" s="4" t="s">
        <v>161</v>
      </c>
      <c r="D28" s="6" t="s">
        <v>81</v>
      </c>
      <c r="E28" s="6" t="s">
        <v>82</v>
      </c>
      <c r="F28" s="4" t="s">
        <v>162</v>
      </c>
      <c r="G28" s="51">
        <v>0</v>
      </c>
      <c r="H28" s="52" t="s">
        <v>387</v>
      </c>
      <c r="I28" s="44" t="s">
        <v>150</v>
      </c>
      <c r="J28" s="52" t="s">
        <v>359</v>
      </c>
      <c r="K28" s="53" t="s">
        <v>388</v>
      </c>
      <c r="L28" s="54" t="s">
        <v>370</v>
      </c>
      <c r="M28" s="52"/>
    </row>
    <row r="29" spans="1:13" ht="68" x14ac:dyDescent="0.2">
      <c r="A29" s="27" t="s">
        <v>163</v>
      </c>
      <c r="B29" s="27">
        <v>50</v>
      </c>
      <c r="C29" s="28" t="s">
        <v>164</v>
      </c>
      <c r="D29" s="27" t="s">
        <v>86</v>
      </c>
      <c r="E29" s="28" t="s">
        <v>82</v>
      </c>
      <c r="F29" s="28" t="s">
        <v>165</v>
      </c>
      <c r="G29" s="46">
        <v>0</v>
      </c>
      <c r="H29" s="30" t="s">
        <v>389</v>
      </c>
      <c r="I29" s="30" t="s">
        <v>150</v>
      </c>
      <c r="J29" s="31" t="s">
        <v>390</v>
      </c>
      <c r="K29" s="30" t="s">
        <v>391</v>
      </c>
      <c r="L29" s="3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691488b-3dd8-43fd-b5f5-646823e2c29f">
      <Terms xmlns="http://schemas.microsoft.com/office/infopath/2007/PartnerControls"/>
    </lcf76f155ced4ddcb4097134ff3c332f>
    <TaxCatchAll xmlns="a046886a-180d-4fc1-a6d0-e96a37e968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6E53307F14164BBA3202DD555B66FC" ma:contentTypeVersion="12" ma:contentTypeDescription="Create a new document." ma:contentTypeScope="" ma:versionID="0fb955171c2d2d6f6906c6f16fff743d">
  <xsd:schema xmlns:xsd="http://www.w3.org/2001/XMLSchema" xmlns:xs="http://www.w3.org/2001/XMLSchema" xmlns:p="http://schemas.microsoft.com/office/2006/metadata/properties" xmlns:ns2="2691488b-3dd8-43fd-b5f5-646823e2c29f" xmlns:ns3="a046886a-180d-4fc1-a6d0-e96a37e96865" targetNamespace="http://schemas.microsoft.com/office/2006/metadata/properties" ma:root="true" ma:fieldsID="c487210bddde17f76e42b1e6eb287d30" ns2:_="" ns3:_="">
    <xsd:import namespace="2691488b-3dd8-43fd-b5f5-646823e2c29f"/>
    <xsd:import namespace="a046886a-180d-4fc1-a6d0-e96a37e968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91488b-3dd8-43fd-b5f5-646823e2c2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46886a-180d-4fc1-a6d0-e96a37e9686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6365f4f-9de8-4e55-b425-fb3ffe309d64}" ma:internalName="TaxCatchAll" ma:showField="CatchAllData" ma:web="a046886a-180d-4fc1-a6d0-e96a37e96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D21B7F-17C7-44E2-BB80-2FF62049EBCB}">
  <ds:schemaRefs>
    <ds:schemaRef ds:uri="http://schemas.microsoft.com/office/2006/metadata/properties"/>
    <ds:schemaRef ds:uri="http://schemas.microsoft.com/office/infopath/2007/PartnerControls"/>
    <ds:schemaRef ds:uri="2691488b-3dd8-43fd-b5f5-646823e2c29f"/>
    <ds:schemaRef ds:uri="a046886a-180d-4fc1-a6d0-e96a37e96865"/>
  </ds:schemaRefs>
</ds:datastoreItem>
</file>

<file path=customXml/itemProps2.xml><?xml version="1.0" encoding="utf-8"?>
<ds:datastoreItem xmlns:ds="http://schemas.openxmlformats.org/officeDocument/2006/customXml" ds:itemID="{208B3D5A-67FF-4BB3-901D-54C3C2E175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91488b-3dd8-43fd-b5f5-646823e2c29f"/>
    <ds:schemaRef ds:uri="a046886a-180d-4fc1-a6d0-e96a37e96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B9679A-D51F-447F-93C1-A19C5B2235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SuppTable1</vt:lpstr>
      <vt:lpstr>SuppTable2</vt:lpstr>
      <vt:lpstr>SuppTable3</vt:lpstr>
      <vt:lpstr>SuppTable4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Daigle, Elizabeth Harris</dc:creator>
  <cp:keywords/>
  <dc:description/>
  <cp:lastModifiedBy>Daigle, Elizabeth Harris</cp:lastModifiedBy>
  <cp:revision/>
  <dcterms:created xsi:type="dcterms:W3CDTF">2026-05-11T16:16:19Z</dcterms:created>
  <dcterms:modified xsi:type="dcterms:W3CDTF">2026-10-09T20:38:42Z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0x0101006F6E53307F14164BBA3202DD555B66FC</vt:lpwstr>
  </property>
  <property fmtid="{D5CDD505-2E9C-101B-9397-08002B2CF9AE}" pid="3" name="MediaServiceImageTags">
    <vt:lpwstr/>
  </property>
</Properties>
</file>